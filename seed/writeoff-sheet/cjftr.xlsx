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론티어랩스 투자자산 관리(2024)" sheetId="1" r:id="rId5"/>
    <sheet state="visible" name="프론티어랩스 투자자산 관리(2025.2Q)" sheetId="2" r:id="rId6"/>
    <sheet state="visible" name="프론티어랩스 투자자산 관리(2025.3Q)" sheetId="3" r:id="rId7"/>
    <sheet state="visible" name="프론티어랩스 투자자산 관리(2025.4Q)" sheetId="4" r:id="rId8"/>
    <sheet state="visible" name="프론티어랩스 투자자산 관리(2026.1Q)" sheetId="5" r:id="rId9"/>
    <sheet state="visible" name="프론티어랩스 투자자산 관리(2026.2Q)" sheetId="6" r:id="rId10"/>
    <sheet state="hidden" name="프론티어랩스 회수 시나리오용(25.9)" sheetId="7" r:id="rId11"/>
    <sheet state="hidden" name="프론티어랩스 회수 시나리오용(26.2)" sheetId="8" r:id="rId12"/>
    <sheet state="visible" name="컨택리스트" sheetId="9" r:id="rId13"/>
    <sheet state="visible" name="runway(2026.1Q)" sheetId="10" r:id="rId14"/>
  </sheets>
  <definedNames>
    <definedName hidden="1" localSheetId="0" name="_xlnm._FilterDatabase">'프론티어랩스 투자자산 관리(2024)'!$A$3:$AM$3</definedName>
    <definedName hidden="1" localSheetId="1" name="_xlnm._FilterDatabase">'프론티어랩스 투자자산 관리(2025.2Q)'!$A$3:$AK$3</definedName>
    <definedName hidden="1" localSheetId="2" name="_xlnm._FilterDatabase">'프론티어랩스 투자자산 관리(2025.3Q)'!$A$3:$AK$3</definedName>
    <definedName hidden="1" localSheetId="6" name="_xlnm._FilterDatabase">'프론티어랩스 회수 시나리오용(25.9)'!$A$3:$AP$3</definedName>
    <definedName hidden="1" localSheetId="7" name="_xlnm._FilterDatabase">'프론티어랩스 회수 시나리오용(26.2)'!$A$3:$AJ$3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8">
      <text>
        <t xml:space="preserve">라운드가 역행한 것인가..?
시리즈 a 브릿지가 맞는듯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8">
      <text>
        <t xml:space="preserve">라운드가 역행한 것인가..?
시리즈 a 브릿지가 맞는듯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8">
      <text>
        <t xml:space="preserve">라운드가 역행한 것인가..?
시리즈 a 브릿지가 맞는듯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8">
      <text>
        <t xml:space="preserve">라운드가 역행한 것인가..?
시리즈 a 브릿지가 맞는듯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1">
      <text>
        <t xml:space="preserve">후속투자 발행 종류주식으로 전환</t>
      </text>
    </comment>
    <comment authorId="0" ref="AE10">
      <text>
        <t xml:space="preserve">후속투자 발행 종류주식으로 전환</t>
      </text>
    </comment>
    <comment authorId="0" ref="AF11">
      <text>
        <t xml:space="preserve">프리 300억, 포스트 330억 기준 전환 시, 우리는 단가 대비 약 23%로 할인받은 상태로 임의로 20% 할인률 적용</t>
      </text>
    </comment>
    <comment authorId="0" ref="AF10">
      <text>
        <t xml:space="preserve">프리 300억, 포스트 330억 기준 전환 시, 우리는 단가 대비 약 23%로 할인받은 상태로 임의로 20% 할인률 적용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2">
      <text>
        <t xml:space="preserve">후속투자 발행 종류주식으로 전환</t>
      </text>
    </comment>
    <comment authorId="0" ref="AE11">
      <text>
        <t xml:space="preserve">후속투자 발행 종류주식으로 전환</t>
      </text>
    </comment>
    <comment authorId="0" ref="AF12">
      <text>
        <t xml:space="preserve">프리 300억, 포스트 330억 기준 전환 시, 우리는 단가 대비 약 23%로 할인받은 상태로 임의로 20% 할인률 적용</t>
      </text>
    </comment>
    <comment authorId="0" ref="AF11">
      <text>
        <t xml:space="preserve">프리 300억, 포스트 330억 기준 전환 시, 우리는 단가 대비 약 23%로 할인받은 상태로 임의로 20% 할인률 적용</t>
      </text>
    </comment>
    <comment authorId="0" ref="X13">
      <text>
        <t xml:space="preserve">erp 확인
1,800,000원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김현지 1987년 5월 8일</t>
      </text>
    </comment>
  </commentList>
</comments>
</file>

<file path=xl/sharedStrings.xml><?xml version="1.0" encoding="utf-8"?>
<sst xmlns="http://schemas.openxmlformats.org/spreadsheetml/2006/main" count="2203" uniqueCount="273">
  <si>
    <t>스파크랩 프론티어랩스 제1호 펀드 투자 자산 리스트</t>
  </si>
  <si>
    <t>EXIT 계획</t>
  </si>
  <si>
    <t>기준일자</t>
  </si>
  <si>
    <t>회사정보</t>
  </si>
  <si>
    <t>투자시점</t>
  </si>
  <si>
    <t>현재시점 (2024.12.31)</t>
  </si>
  <si>
    <t>매각</t>
  </si>
  <si>
    <t>#</t>
  </si>
  <si>
    <t>기업명</t>
  </si>
  <si>
    <t>분야</t>
  </si>
  <si>
    <t>주요제품 및 서비스</t>
  </si>
  <si>
    <t>구분</t>
  </si>
  <si>
    <t>국가</t>
  </si>
  <si>
    <t>상장구분</t>
  </si>
  <si>
    <t>설립일자</t>
  </si>
  <si>
    <t>투자기업 업력</t>
  </si>
  <si>
    <t>주목적여부</t>
  </si>
  <si>
    <t>임직원수</t>
  </si>
  <si>
    <t>투자일자(기표)</t>
  </si>
  <si>
    <t>투자연도(기표)</t>
  </si>
  <si>
    <t>투자라운드</t>
  </si>
  <si>
    <t>투자유형</t>
  </si>
  <si>
    <t>기발행 주식수
(투자전)</t>
  </si>
  <si>
    <t>보유 주식수</t>
  </si>
  <si>
    <t>총 주식수
(투자후)</t>
  </si>
  <si>
    <t>취득단가(KRW)</t>
  </si>
  <si>
    <t>투자금액(KRW)</t>
  </si>
  <si>
    <t>지분율</t>
  </si>
  <si>
    <t>기업가치</t>
  </si>
  <si>
    <t>거래일자</t>
  </si>
  <si>
    <t>최신주당단가
(KRW)</t>
  </si>
  <si>
    <t>총 주식수</t>
  </si>
  <si>
    <t>현 지분율</t>
  </si>
  <si>
    <t>평가금액(KRW)</t>
  </si>
  <si>
    <t>MOIC</t>
  </si>
  <si>
    <t>매각단가</t>
  </si>
  <si>
    <t>매각 주식수</t>
  </si>
  <si>
    <t>회수금액(KRW)</t>
  </si>
  <si>
    <t>시기</t>
  </si>
  <si>
    <t>금액</t>
  </si>
  <si>
    <t>목표 벨류</t>
  </si>
  <si>
    <t>비고</t>
  </si>
  <si>
    <t>베러먼데이코리아㈜</t>
  </si>
  <si>
    <t>Food Tech</t>
  </si>
  <si>
    <t>직장인을 위한 온오프라인 라이프스타일 플랫폼</t>
  </si>
  <si>
    <t>중소(벤처)</t>
  </si>
  <si>
    <t>한국</t>
  </si>
  <si>
    <t>비상장</t>
  </si>
  <si>
    <t>O</t>
  </si>
  <si>
    <t>Pre-A</t>
  </si>
  <si>
    <t>CPS</t>
  </si>
  <si>
    <t>없음</t>
  </si>
  <si>
    <t>㈜엘로이랩</t>
  </si>
  <si>
    <t xml:space="preserve">초분광 이물혼입 제거 솔루션 '스펙트럴AI'   </t>
  </si>
  <si>
    <t>-</t>
  </si>
  <si>
    <t>SEED</t>
  </si>
  <si>
    <t>RCPS</t>
  </si>
  <si>
    <t>Series A Bridge</t>
  </si>
  <si>
    <t>후속투자 유치</t>
  </si>
  <si>
    <t>㈜엘로이랩 (2)</t>
  </si>
  <si>
    <t>㈜잇그린</t>
  </si>
  <si>
    <t>다회용기 플랫폼 '리턴잇'</t>
  </si>
  <si>
    <t>Series A</t>
  </si>
  <si>
    <t>㈜도시곳간(1)</t>
  </si>
  <si>
    <t>e commerce/Marketplace</t>
  </si>
  <si>
    <t>지역농가 및 상인과 연계한 도심형 프리미엄 반찬샵</t>
  </si>
  <si>
    <t>Pre-A bridge</t>
  </si>
  <si>
    <t>㈜도시곳간(2)</t>
  </si>
  <si>
    <t>㈜왓섭</t>
  </si>
  <si>
    <t>Data Analytics</t>
  </si>
  <si>
    <t>사용자 결제 및 구독 관리 서비스 '왓섭'</t>
  </si>
  <si>
    <t>SAFE</t>
  </si>
  <si>
    <t>NA</t>
  </si>
  <si>
    <t>230 억원</t>
  </si>
  <si>
    <t>㈜왓섭 (2)</t>
  </si>
  <si>
    <t>잇마플㈜</t>
  </si>
  <si>
    <t>데이터 기반의 건강 맞춤형 헬스케어 서비스 '맛있저염'</t>
  </si>
  <si>
    <t>잇마플㈜ (2)</t>
  </si>
  <si>
    <t>㈜제트커머스코퍼레이션</t>
  </si>
  <si>
    <t xml:space="preserve">퀵커머스 '밀크런' 플랫폼 </t>
  </si>
  <si>
    <t>폐업</t>
  </si>
  <si>
    <t>㈜현관앞마켓</t>
  </si>
  <si>
    <t>클라우드키친을 통한 하이퍼로컬 신선식품 플랫폼</t>
  </si>
  <si>
    <t>회수</t>
  </si>
  <si>
    <t>50 억원</t>
  </si>
  <si>
    <t>투자금 상환 중</t>
  </si>
  <si>
    <t>담화컴퍼니㈜</t>
  </si>
  <si>
    <t>전통주 큐레이션 플랫폼</t>
  </si>
  <si>
    <t>~ 2025.04</t>
  </si>
  <si>
    <t>20~30억 원</t>
  </si>
  <si>
    <t>pre-100</t>
  </si>
  <si>
    <t>후속투자 유치(다운밸류)</t>
  </si>
  <si>
    <t>담화컴퍼니㈜ (2)</t>
  </si>
  <si>
    <t>㈜에스앤이컴퍼니</t>
  </si>
  <si>
    <t>AI기반 못난이 농식품 가격예측 솔루션 및 선도거래 플랫폼</t>
  </si>
  <si>
    <t>2024.11까지 희망이나, 연말까지로 예상 중</t>
  </si>
  <si>
    <t>작년 하반기 30억 원/20억 원</t>
  </si>
  <si>
    <t>작년 하반기 pre-160-/pre-230</t>
  </si>
  <si>
    <t>㈜에스앤이컴퍼니 (2)</t>
  </si>
  <si>
    <t>작년 하반기 pre-160-/pre-231</t>
  </si>
  <si>
    <t>Total</t>
  </si>
  <si>
    <t>펀드 수익</t>
  </si>
  <si>
    <t>출자시기</t>
  </si>
  <si>
    <t>주주명부</t>
  </si>
  <si>
    <t>스파크랩</t>
  </si>
  <si>
    <t>CJ제일제당</t>
  </si>
  <si>
    <t>net IRR:</t>
  </si>
  <si>
    <t>현재시점 (2025.06.30)</t>
  </si>
  <si>
    <t xml:space="preserve"> 2025-01-15</t>
  </si>
  <si>
    <t>Pre Series-B</t>
  </si>
  <si>
    <t>출자금액</t>
  </si>
  <si>
    <t>현재시점 (2025.09.30)</t>
  </si>
  <si>
    <t>2025.10. 자사주 매입예정</t>
  </si>
  <si>
    <t>현재시점 (2025.12.31)</t>
  </si>
  <si>
    <t>감액 처리</t>
  </si>
  <si>
    <t>현재시점 (2026.03.31)</t>
  </si>
  <si>
    <t>현재시점 (2026.06.31)</t>
  </si>
  <si>
    <t>Series-B</t>
  </si>
  <si>
    <t>최신 현황(2025.09. 기준)+왓섭 전환 시나리오</t>
  </si>
  <si>
    <t>시나리오</t>
  </si>
  <si>
    <t>모니터링</t>
  </si>
  <si>
    <t xml:space="preserve">후속투자 </t>
  </si>
  <si>
    <t>주당단가
(KRW)</t>
  </si>
  <si>
    <t>주식종류</t>
  </si>
  <si>
    <t>할인율</t>
  </si>
  <si>
    <t>예상가치</t>
  </si>
  <si>
    <t>ROI</t>
  </si>
  <si>
    <t>xIRR</t>
  </si>
  <si>
    <t>-%</t>
  </si>
  <si>
    <t>반기보고</t>
  </si>
  <si>
    <t>IRR 19.53</t>
  </si>
  <si>
    <t>XIRR(구글시트 오류로 아래에 따로 기입했음, 삭제X)</t>
  </si>
  <si>
    <t>MOIC 1.86x</t>
  </si>
  <si>
    <t>베러먼데이</t>
  </si>
  <si>
    <t>도시곳간</t>
  </si>
  <si>
    <t xml:space="preserve">26년 예상 시나리오, 프리 400억 밸류+보수적 단가 기준으로 희석 7% 이내(30억) 유치 시 </t>
  </si>
  <si>
    <t>엘로이랩</t>
  </si>
  <si>
    <t>왓섭</t>
  </si>
  <si>
    <t>25년, 프리300억, 30억 유치 시, 20% 할인해서 팔 경우</t>
  </si>
  <si>
    <t>잇그린</t>
  </si>
  <si>
    <t>제트커머스</t>
  </si>
  <si>
    <t>IRR:</t>
  </si>
  <si>
    <t>현관앞</t>
  </si>
  <si>
    <t>시나리오1. 최신 단가로 구주 매각+현금상환 투자단가10/1 &gt; 원금 근접</t>
  </si>
  <si>
    <t>시나리오1. 최신 단가로 구주 매각+현금상환 월 1천만원, 6개월 &gt; 회수율 약 60%</t>
  </si>
  <si>
    <t>에스엔이</t>
  </si>
  <si>
    <t>잇마플</t>
  </si>
  <si>
    <t>담화</t>
  </si>
  <si>
    <t>시나리오2. 밸류업으로 구주 매각(기업가치 250억) &gt; 원금 소폭 상회</t>
  </si>
  <si>
    <t xml:space="preserve">시나리오3. 구주매각 실패, 현금상환 투자단가10/1 </t>
  </si>
  <si>
    <t>시나리오2. 밸류업으로 구주매각(기업가치 +30%)+현금상환 월 1천만원, 6개월 &gt; 회수율 약 74%</t>
  </si>
  <si>
    <t>시나리오3. 구주매각 실패+현금상환 월 1천만원, 6개월 &gt; 회수율 약 10%</t>
  </si>
  <si>
    <t>마지막 투자 정보(2026.01. 기준)</t>
  </si>
  <si>
    <t>2026. 2Q</t>
  </si>
  <si>
    <t>SEED(SAFE)</t>
  </si>
  <si>
    <t>펀드 존속기간: 2021.10.01 ~ 2026.09.30(2회 연장 시, 2028.09.30)</t>
  </si>
  <si>
    <t>대표자명</t>
  </si>
  <si>
    <t>이메일</t>
  </si>
  <si>
    <t>연락처</t>
  </si>
  <si>
    <t>대표자 생년월일</t>
  </si>
  <si>
    <t>대표자 나이</t>
  </si>
  <si>
    <t>소재지</t>
  </si>
  <si>
    <t>엑싯 목표</t>
  </si>
  <si>
    <t>재무제표</t>
  </si>
  <si>
    <t>등기부등본</t>
  </si>
  <si>
    <t>컴케 현황</t>
  </si>
  <si>
    <t>최종확인</t>
  </si>
  <si>
    <t>스랩 문의사항</t>
  </si>
  <si>
    <t>런웨이</t>
  </si>
  <si>
    <t>런웨이 유의기업</t>
  </si>
  <si>
    <t>김준태</t>
  </si>
  <si>
    <t>jt@whatssub.co</t>
  </si>
  <si>
    <t>010-2673-8072</t>
  </si>
  <si>
    <t>서울시 영등포구</t>
  </si>
  <si>
    <t>26년 내 엑싯</t>
  </si>
  <si>
    <t>윤소은 담당자</t>
  </si>
  <si>
    <t>yun.soeun@whatssub.co</t>
  </si>
  <si>
    <t>010-9085-3035</t>
  </si>
  <si>
    <t>전환 최우선, 전환 후 빠르게 엑싯 할 수 있도록 준비</t>
  </si>
  <si>
    <t>유광선</t>
  </si>
  <si>
    <t>yks@elroilab.com</t>
  </si>
  <si>
    <t>010-2443-4556</t>
  </si>
  <si>
    <t>울산시 남구</t>
  </si>
  <si>
    <t>한선 확인완료</t>
  </si>
  <si>
    <t>IR담당자/제이슨</t>
  </si>
  <si>
    <t>jason@elroilab.com</t>
  </si>
  <si>
    <t>010-9188-3544</t>
  </si>
  <si>
    <t>농협한테 매각 가능성 검토; 투자유치 전 매각해도 됨/ 할인율 20% 언더, 20억 정도 회수 목표</t>
  </si>
  <si>
    <t>조소하 팀장</t>
  </si>
  <si>
    <t>soha@elroilab.com</t>
  </si>
  <si>
    <t>010-7661-6833</t>
  </si>
  <si>
    <t>김선</t>
  </si>
  <si>
    <t>sun@returnit.co.kr</t>
  </si>
  <si>
    <t>010-8841-8014</t>
  </si>
  <si>
    <t>부산시 해운대구</t>
  </si>
  <si>
    <t>IR담당자/이상헌</t>
  </si>
  <si>
    <t>sangheon.lee@returnit.co.kr</t>
  </si>
  <si>
    <t>010-5389-2393</t>
  </si>
  <si>
    <t xml:space="preserve">타이밍 되면 엑싯 </t>
  </si>
  <si>
    <t>정수빈 팀장님</t>
  </si>
  <si>
    <t>sbjeong@returnit.co.kr</t>
  </si>
  <si>
    <t>010-6289-7214</t>
  </si>
  <si>
    <t>㈜도시곳간</t>
  </si>
  <si>
    <t>민요한</t>
  </si>
  <si>
    <t>dosigotgan@naver.com</t>
  </si>
  <si>
    <t>010-7115-9040</t>
  </si>
  <si>
    <t>서울시 광진구</t>
  </si>
  <si>
    <t>김지훈 본부장</t>
  </si>
  <si>
    <t>dosigotgan.kjh@gmail.com</t>
  </si>
  <si>
    <t>1호 엑싯 후, 2호에서 재투자 예정</t>
  </si>
  <si>
    <t>장세훈</t>
  </si>
  <si>
    <t>shjang@bgood.co.kr</t>
  </si>
  <si>
    <t>010-8332-0575</t>
  </si>
  <si>
    <t>서울시 서초구</t>
  </si>
  <si>
    <t>△</t>
  </si>
  <si>
    <t>이정수 매니저</t>
  </si>
  <si>
    <r>
      <rPr>
        <rFont val="arial, sans-serif"/>
        <color rgb="FF1155CC"/>
        <sz val="9.0"/>
        <u/>
      </rPr>
      <t>jslee@bgood.co.kr</t>
    </r>
  </si>
  <si>
    <t>010-3786-4608</t>
  </si>
  <si>
    <t>심유리 매니저</t>
  </si>
  <si>
    <r>
      <rPr>
        <rFont val="arial, sans-serif"/>
        <color rgb="FF1155CC"/>
        <sz val="9.0"/>
        <u/>
      </rPr>
      <t>ylsim@bgood.co.kr</t>
    </r>
  </si>
  <si>
    <t>010-8794-4335</t>
  </si>
  <si>
    <t>김희원 팀장님</t>
  </si>
  <si>
    <t>hwkim@bgood.co.kr</t>
  </si>
  <si>
    <t>010-3272-2871</t>
  </si>
  <si>
    <t>투자유치 전 매각해도 됨</t>
  </si>
  <si>
    <t>김현지
김슬기</t>
  </si>
  <si>
    <t>lime@eatmapl.com
mango@eatmapl.com</t>
  </si>
  <si>
    <t>010-3427-0508
010-5230-0123</t>
  </si>
  <si>
    <t>서울시
강남구</t>
  </si>
  <si>
    <r>
      <rPr>
        <rFont val="Calibri"/>
        <color theme="1"/>
        <sz val="10.0"/>
      </rPr>
      <t xml:space="preserve">모니터링 : BEP 달성 대기 중
</t>
    </r>
    <r>
      <rPr>
        <rFont val="Calibri"/>
        <color rgb="FFFF0000"/>
        <sz val="10.0"/>
      </rPr>
      <t>- 주주 간담회? 타 fi주주들의 의견은? 관심도가 떨어진건지...감액인건지 
- 최종적으로 카창투가 반이라도 회수했을 떄, 우린 그냥 감액? 뭐라도 했냐?라고 이야기 나올 수 있따.
- 결정? 더 줄이고 버틸 수 있는 구조에 대한 결단</t>
    </r>
  </si>
  <si>
    <t>이재욱</t>
  </si>
  <si>
    <t>jolee@sooldamhwa.com</t>
  </si>
  <si>
    <t>010-8547-9338</t>
  </si>
  <si>
    <t>서울시</t>
  </si>
  <si>
    <t>모니터링 : BEP 달성 중</t>
  </si>
  <si>
    <t>X</t>
  </si>
  <si>
    <t>BS/PL 3분기 자료로 재요청 / 총발행주식수 수정요청</t>
  </si>
  <si>
    <t>최수연 매니저</t>
  </si>
  <si>
    <t>sychoi@sooldamhwa.com</t>
  </si>
  <si>
    <t>전통주 펀드 기다리고만 있음.....</t>
  </si>
  <si>
    <t>현관앞마켓</t>
  </si>
  <si>
    <t>김태구(김승준 대표 아버지)</t>
  </si>
  <si>
    <t>kimtaeku@doormarket.info</t>
  </si>
  <si>
    <t>010-4563-7978</t>
  </si>
  <si>
    <t>경상남도
진주</t>
  </si>
  <si>
    <t>25년 엑싯</t>
  </si>
  <si>
    <t>김승준</t>
  </si>
  <si>
    <t>kimjun@doormarket.info</t>
  </si>
  <si>
    <t>010-6256-8115</t>
  </si>
  <si>
    <t>상환 재시작, 연말 내 원금+이자 상환, 상환계획표 수령 필요</t>
  </si>
  <si>
    <t>도경백</t>
  </si>
  <si>
    <t>1@bettermonday.company</t>
  </si>
  <si>
    <t>010-3125-7477</t>
  </si>
  <si>
    <t>부산시
해운대구</t>
  </si>
  <si>
    <t>박기태 실장님</t>
  </si>
  <si>
    <t>kitae.p@bettermonday.kr</t>
  </si>
  <si>
    <t>010-5551-4460</t>
  </si>
  <si>
    <t>10월 내 자사주 매입 예정. 주식가치 평가 중</t>
  </si>
  <si>
    <t>김동우</t>
  </si>
  <si>
    <t>dow@zcc.so</t>
  </si>
  <si>
    <t>010-4427-6070</t>
  </si>
  <si>
    <t>26년 온기 감액 반영</t>
  </si>
  <si>
    <t>runway('25.4Q)</t>
  </si>
  <si>
    <t>보유현금</t>
  </si>
  <si>
    <t>net burn rate</t>
  </si>
  <si>
    <t>runway('26.1Q)</t>
  </si>
  <si>
    <t>현실적으로 120개월 이상 확보</t>
  </si>
  <si>
    <t>현금잔고 17억, 확정된 추가 입금 예정 금액 있어 26년 런웨이 문제 없음</t>
  </si>
  <si>
    <t>에스앤이컴퍼니</t>
  </si>
  <si>
    <t>유입액&gt;유출액</t>
  </si>
  <si>
    <t>담화컴퍼니</t>
  </si>
  <si>
    <t>보수적 추정 시 3개월, 현실적으로 7개월 이상 런웨이 확보 완료</t>
  </si>
  <si>
    <t>가용자산 부족으로 인한 비용 지급 유예 발생 중, 미지급금 확대 추세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</si>
</sst>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yyyy\-mm\-dd"/>
    <numFmt numFmtId="165" formatCode="0_);[Red]\(0\)"/>
    <numFmt numFmtId="166" formatCode="_-* #,##0_-;\-* #,##0_-;_-* &quot;-&quot;_-;_-@"/>
    <numFmt numFmtId="167" formatCode="#,##0_);[Red]\(#,##0\)"/>
    <numFmt numFmtId="168" formatCode="#,##0\ &quot;억&quot;&quot;원&quot;"/>
    <numFmt numFmtId="169" formatCode="yyyy-mm-dd"/>
    <numFmt numFmtId="170" formatCode="#,##0.00\ \X"/>
    <numFmt numFmtId="171" formatCode="[$KRW]\ #,##0"/>
    <numFmt numFmtId="172" formatCode="[$USD]\ #,##0"/>
    <numFmt numFmtId="173" formatCode="_(* #,##0_);_(* \(#,##0\);_(* &quot;-&quot;??_);_(@_)"/>
    <numFmt numFmtId="174" formatCode="#,##0.0000\ \X"/>
    <numFmt numFmtId="175" formatCode="0.000000%"/>
    <numFmt numFmtId="176" formatCode="yyyy&quot;-&quot;m&quot;-&quot;d"/>
    <numFmt numFmtId="177" formatCode="yyyy&quot;년 &quot;mmmm&quot; &quot;d&quot;일&quot;"/>
  </numFmts>
  <fonts count="37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0"/>
      <name val="Malgun Gothic"/>
    </font>
    <font>
      <b/>
      <sz val="10.0"/>
      <color theme="0"/>
      <name val="Malgun Gothic"/>
    </font>
    <font>
      <sz val="11.0"/>
      <color theme="1"/>
      <name val="Calibri"/>
    </font>
    <font>
      <sz val="11.0"/>
      <color theme="1"/>
      <name val="Malgun Gothic"/>
    </font>
    <font>
      <b/>
      <sz val="10.0"/>
      <color rgb="FFFFFFFF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sz val="10.0"/>
      <color rgb="FF0066FF"/>
      <name val="Malgun Gothic"/>
    </font>
    <font>
      <sz val="10.0"/>
      <color theme="1"/>
      <name val="&quot;Malgun Gothic&quot;"/>
    </font>
    <font>
      <sz val="10.0"/>
      <color rgb="FFFF0000"/>
      <name val="Malgun Gothic"/>
    </font>
    <font>
      <b/>
      <sz val="12.0"/>
      <color theme="1"/>
      <name val="Malgun Gothic"/>
    </font>
    <font>
      <b/>
      <sz val="11.0"/>
      <color rgb="FFFFFFFF"/>
      <name val="Malgun Gothic"/>
    </font>
    <font>
      <sz val="10.0"/>
      <color rgb="FF000000"/>
      <name val="Arial"/>
    </font>
    <font>
      <sz val="10.0"/>
      <color rgb="FF000000"/>
      <name val="Arimo"/>
    </font>
    <font>
      <b/>
      <sz val="10.0"/>
      <color rgb="FF000000"/>
      <name val="Arial"/>
    </font>
    <font>
      <b/>
      <sz val="12.0"/>
      <color rgb="FF000000"/>
      <name val="Arial"/>
    </font>
    <font>
      <color theme="1"/>
      <name val="Malgun Gothic"/>
    </font>
    <font/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Arial"/>
    </font>
    <font>
      <sz val="10.0"/>
      <color theme="1"/>
      <name val="Arial"/>
    </font>
    <font>
      <sz val="10.0"/>
      <color rgb="FFFF0000"/>
      <name val="Calibri"/>
      <scheme val="minor"/>
    </font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rgb="FFFFFF00"/>
      <name val="Malgun Gothic"/>
    </font>
    <font>
      <sz val="10.0"/>
      <color rgb="FF434343"/>
      <name val="Calibri"/>
      <scheme val="minor"/>
    </font>
    <font>
      <b/>
      <sz val="10.0"/>
      <color rgb="FFFFFFFF"/>
      <name val="Arial"/>
    </font>
    <font>
      <b/>
      <color theme="1"/>
      <name val="Calibri"/>
    </font>
    <font>
      <sz val="10.0"/>
      <color rgb="FFFFFFFF"/>
      <name val="Arial"/>
    </font>
    <font>
      <color theme="1"/>
      <name val="Calibri"/>
    </font>
    <font>
      <u/>
      <sz val="9.0"/>
      <color rgb="FF222222"/>
      <name val="Arial"/>
    </font>
    <font>
      <sz val="9.0"/>
      <color rgb="FF222222"/>
      <name val="Arial"/>
    </font>
    <font>
      <sz val="10.0"/>
      <color rgb="FFFFFFFF"/>
      <name val="Calibri"/>
      <scheme val="minor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44546A"/>
        <bgColor rgb="FF44546A"/>
      </patternFill>
    </fill>
    <fill>
      <patternFill patternType="solid">
        <fgColor rgb="FFFDE9D9"/>
        <bgColor rgb="FFFDE9D9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</fills>
  <borders count="26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FF"/>
      </left>
      <right style="medium">
        <color rgb="FF0000FF"/>
      </right>
      <top style="medium">
        <color rgb="FF0000FF"/>
      </top>
    </border>
    <border>
      <right style="thin">
        <color rgb="FF000000"/>
      </right>
      <top style="thin">
        <color rgb="FF000000"/>
      </top>
    </border>
    <border>
      <left style="medium">
        <color rgb="FF0000FF"/>
      </left>
      <right style="medium">
        <color rgb="FF0000FF"/>
      </right>
    </border>
    <border>
      <right style="thin">
        <color rgb="FF000000"/>
      </right>
    </border>
    <border>
      <left style="medium">
        <color rgb="FF0000FF"/>
      </left>
      <right style="medium">
        <color rgb="FF0000FF"/>
      </right>
      <bottom style="medium">
        <color rgb="FF0000FF"/>
      </bottom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readingOrder="0"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4" fillId="2" fontId="3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9" fillId="4" fontId="5" numFmtId="0" xfId="0" applyAlignment="1" applyBorder="1" applyFill="1" applyFont="1">
      <alignment vertical="center"/>
    </xf>
    <xf borderId="4" fillId="4" fontId="8" numFmtId="0" xfId="0" applyAlignment="1" applyBorder="1" applyFont="1">
      <alignment horizontal="center" shrinkToFit="1" vertical="center" wrapText="0"/>
    </xf>
    <xf borderId="4" fillId="4" fontId="8" numFmtId="49" xfId="0" applyAlignment="1" applyBorder="1" applyFont="1" applyNumberFormat="1">
      <alignment horizontal="center" readingOrder="0" shrinkToFit="0" vertical="center" wrapText="0"/>
    </xf>
    <xf borderId="4" fillId="4" fontId="8" numFmtId="49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ont="1">
      <alignment horizontal="center" vertical="center"/>
    </xf>
    <xf borderId="6" fillId="4" fontId="8" numFmtId="164" xfId="0" applyAlignment="1" applyBorder="1" applyFont="1" applyNumberFormat="1">
      <alignment horizontal="center" vertical="center"/>
    </xf>
    <xf borderId="4" fillId="5" fontId="9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vertical="center"/>
    </xf>
    <xf borderId="4" fillId="4" fontId="8" numFmtId="164" xfId="0" applyAlignment="1" applyBorder="1" applyFont="1" applyNumberFormat="1">
      <alignment horizontal="center" vertical="center"/>
    </xf>
    <xf borderId="4" fillId="4" fontId="8" numFmtId="165" xfId="0" applyAlignment="1" applyBorder="1" applyFont="1" applyNumberFormat="1">
      <alignment horizontal="center" vertical="center"/>
    </xf>
    <xf borderId="4" fillId="5" fontId="10" numFmtId="165" xfId="0" applyAlignment="1" applyBorder="1" applyFont="1" applyNumberFormat="1">
      <alignment horizontal="center" readingOrder="0" shrinkToFit="0" vertical="center" wrapText="0"/>
    </xf>
    <xf borderId="4" fillId="4" fontId="8" numFmtId="166" xfId="0" applyAlignment="1" applyBorder="1" applyFont="1" applyNumberFormat="1">
      <alignment horizontal="center" shrinkToFit="1" vertical="center" wrapText="0"/>
    </xf>
    <xf borderId="4" fillId="4" fontId="9" numFmtId="167" xfId="0" applyAlignment="1" applyBorder="1" applyFont="1" applyNumberFormat="1">
      <alignment horizontal="right" shrinkToFit="1" vertical="center" wrapText="0"/>
    </xf>
    <xf borderId="4" fillId="0" fontId="9" numFmtId="38" xfId="0" applyAlignment="1" applyBorder="1" applyFont="1" applyNumberFormat="1">
      <alignment horizontal="right" vertical="center"/>
    </xf>
    <xf borderId="4" fillId="0" fontId="8" numFmtId="38" xfId="0" applyAlignment="1" applyBorder="1" applyFont="1" applyNumberFormat="1">
      <alignment horizontal="right" vertical="center"/>
    </xf>
    <xf borderId="4" fillId="0" fontId="8" numFmtId="10" xfId="0" applyAlignment="1" applyBorder="1" applyFont="1" applyNumberFormat="1">
      <alignment horizontal="right" vertical="center"/>
    </xf>
    <xf borderId="10" fillId="0" fontId="8" numFmtId="168" xfId="0" applyAlignment="1" applyBorder="1" applyFont="1" applyNumberFormat="1">
      <alignment horizontal="right" vertical="center"/>
    </xf>
    <xf borderId="4" fillId="6" fontId="10" numFmtId="0" xfId="0" applyAlignment="1" applyBorder="1" applyFill="1" applyFont="1">
      <alignment horizontal="center" readingOrder="0" shrinkToFit="0" vertical="center" wrapText="0"/>
    </xf>
    <xf borderId="7" fillId="6" fontId="8" numFmtId="169" xfId="0" applyAlignment="1" applyBorder="1" applyFont="1" applyNumberFormat="1">
      <alignment horizontal="center" vertical="center"/>
    </xf>
    <xf borderId="8" fillId="6" fontId="8" numFmtId="0" xfId="0" applyAlignment="1" applyBorder="1" applyFont="1">
      <alignment horizontal="center" readingOrder="0" vertical="center"/>
    </xf>
    <xf borderId="4" fillId="6" fontId="9" numFmtId="38" xfId="0" applyAlignment="1" applyBorder="1" applyFont="1" applyNumberFormat="1">
      <alignment horizontal="right" vertical="center"/>
    </xf>
    <xf borderId="4" fillId="6" fontId="8" numFmtId="38" xfId="0" applyAlignment="1" applyBorder="1" applyFont="1" applyNumberFormat="1">
      <alignment horizontal="right" vertical="center"/>
    </xf>
    <xf borderId="4" fillId="6" fontId="8" numFmtId="10" xfId="0" applyAlignment="1" applyBorder="1" applyFont="1" applyNumberFormat="1">
      <alignment horizontal="right" vertical="center"/>
    </xf>
    <xf borderId="4" fillId="6" fontId="8" numFmtId="168" xfId="0" applyAlignment="1" applyBorder="1" applyFont="1" applyNumberFormat="1">
      <alignment horizontal="right" vertical="center"/>
    </xf>
    <xf borderId="4" fillId="6" fontId="8" numFmtId="167" xfId="0" applyAlignment="1" applyBorder="1" applyFont="1" applyNumberFormat="1">
      <alignment horizontal="right" vertical="center"/>
    </xf>
    <xf borderId="4" fillId="6" fontId="8" numFmtId="170" xfId="0" applyAlignment="1" applyBorder="1" applyFont="1" applyNumberFormat="1">
      <alignment horizontal="right" vertical="center"/>
    </xf>
    <xf borderId="4" fillId="6" fontId="8" numFmtId="171" xfId="0" applyAlignment="1" applyBorder="1" applyFont="1" applyNumberFormat="1">
      <alignment horizontal="right" vertical="center"/>
    </xf>
    <xf borderId="4" fillId="6" fontId="8" numFmtId="167" xfId="0" applyAlignment="1" applyBorder="1" applyFont="1" applyNumberFormat="1">
      <alignment horizontal="left" vertical="center"/>
    </xf>
    <xf borderId="4" fillId="7" fontId="8" numFmtId="167" xfId="0" applyAlignment="1" applyBorder="1" applyFill="1" applyFont="1" applyNumberFormat="1">
      <alignment horizontal="center" vertical="center"/>
    </xf>
    <xf borderId="9" fillId="4" fontId="5" numFmtId="166" xfId="0" applyAlignment="1" applyBorder="1" applyFont="1" applyNumberFormat="1">
      <alignment vertical="center"/>
    </xf>
    <xf borderId="11" fillId="5" fontId="10" numFmtId="165" xfId="0" applyAlignment="1" applyBorder="1" applyFont="1" applyNumberFormat="1">
      <alignment horizontal="center" readingOrder="0" shrinkToFit="0" vertical="center" wrapText="0"/>
    </xf>
    <xf borderId="11" fillId="6" fontId="10" numFmtId="0" xfId="0" applyAlignment="1" applyBorder="1" applyFont="1">
      <alignment horizontal="center" readingOrder="0" shrinkToFit="0" vertical="center" wrapText="0"/>
    </xf>
    <xf borderId="12" fillId="6" fontId="8" numFmtId="0" xfId="0" applyAlignment="1" applyBorder="1" applyFont="1">
      <alignment horizontal="center" readingOrder="0" vertical="center"/>
    </xf>
    <xf borderId="8" fillId="4" fontId="8" numFmtId="164" xfId="0" applyAlignment="1" applyBorder="1" applyFont="1" applyNumberFormat="1">
      <alignment horizontal="center" vertical="center"/>
    </xf>
    <xf borderId="7" fillId="6" fontId="8" numFmtId="169" xfId="0" applyAlignment="1" applyBorder="1" applyFont="1" applyNumberFormat="1">
      <alignment horizontal="center" readingOrder="0" vertical="center"/>
    </xf>
    <xf borderId="11" fillId="8" fontId="10" numFmtId="165" xfId="0" applyAlignment="1" applyBorder="1" applyFill="1" applyFont="1" applyNumberFormat="1">
      <alignment horizontal="center" readingOrder="0" shrinkToFit="0" vertical="center" wrapText="0"/>
    </xf>
    <xf borderId="4" fillId="4" fontId="9" numFmtId="167" xfId="0" applyAlignment="1" applyBorder="1" applyFont="1" applyNumberFormat="1">
      <alignment horizontal="right" vertical="center"/>
    </xf>
    <xf borderId="11" fillId="8" fontId="10" numFmtId="0" xfId="0" applyAlignment="1" applyBorder="1" applyFont="1">
      <alignment horizontal="center" readingOrder="0" shrinkToFit="0" vertical="center" wrapText="0"/>
    </xf>
    <xf borderId="4" fillId="6" fontId="8" numFmtId="172" xfId="0" applyAlignment="1" applyBorder="1" applyFont="1" applyNumberFormat="1">
      <alignment horizontal="right" vertical="center"/>
    </xf>
    <xf borderId="10" fillId="0" fontId="9" numFmtId="38" xfId="0" applyAlignment="1" applyBorder="1" applyFont="1" applyNumberFormat="1">
      <alignment horizontal="right" vertical="center"/>
    </xf>
    <xf borderId="10" fillId="0" fontId="9" numFmtId="168" xfId="0" applyAlignment="1" applyBorder="1" applyFont="1" applyNumberFormat="1">
      <alignment horizontal="right" vertical="center"/>
    </xf>
    <xf borderId="6" fillId="6" fontId="8" numFmtId="38" xfId="0" applyAlignment="1" applyBorder="1" applyFont="1" applyNumberFormat="1">
      <alignment horizontal="right" vertical="center"/>
    </xf>
    <xf borderId="6" fillId="6" fontId="9" numFmtId="168" xfId="0" applyAlignment="1" applyBorder="1" applyFont="1" applyNumberFormat="1">
      <alignment horizontal="right" vertical="center"/>
    </xf>
    <xf borderId="8" fillId="4" fontId="11" numFmtId="0" xfId="0" applyAlignment="1" applyBorder="1" applyFont="1">
      <alignment horizontal="center" readingOrder="0" vertical="center"/>
    </xf>
    <xf borderId="12" fillId="6" fontId="8" numFmtId="169" xfId="0" applyAlignment="1" applyBorder="1" applyFont="1" applyNumberFormat="1">
      <alignment horizontal="center" vertical="center"/>
    </xf>
    <xf borderId="11" fillId="6" fontId="10" numFmtId="38" xfId="0" applyAlignment="1" applyBorder="1" applyFont="1" applyNumberFormat="1">
      <alignment horizontal="center" readingOrder="0" shrinkToFit="0" vertical="center" wrapText="0"/>
    </xf>
    <xf borderId="6" fillId="6" fontId="9" numFmtId="38" xfId="0" applyAlignment="1" applyBorder="1" applyFont="1" applyNumberFormat="1">
      <alignment horizontal="right" vertical="center"/>
    </xf>
    <xf borderId="4" fillId="6" fontId="9" numFmtId="38" xfId="0" applyAlignment="1" applyBorder="1" applyFont="1" applyNumberFormat="1">
      <alignment horizontal="right" readingOrder="0" vertical="center"/>
    </xf>
    <xf borderId="0" fillId="0" fontId="8" numFmtId="0" xfId="0" applyAlignment="1" applyFont="1">
      <alignment horizontal="center" shrinkToFit="1" vertical="center" wrapText="0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shrinkToFit="1" vertical="center" wrapText="0"/>
    </xf>
    <xf borderId="0" fillId="0" fontId="8" numFmtId="38" xfId="0" applyAlignment="1" applyFont="1" applyNumberFormat="1">
      <alignment horizontal="right" vertical="center"/>
    </xf>
    <xf borderId="0" fillId="0" fontId="8" numFmtId="168" xfId="0" applyAlignment="1" applyFont="1" applyNumberFormat="1">
      <alignment horizontal="right" vertical="center"/>
    </xf>
    <xf borderId="0" fillId="0" fontId="8" numFmtId="167" xfId="0" applyAlignment="1" applyFont="1" applyNumberFormat="1">
      <alignment horizontal="right" vertical="center"/>
    </xf>
    <xf borderId="0" fillId="0" fontId="8" numFmtId="172" xfId="0" applyAlignment="1" applyFont="1" applyNumberFormat="1">
      <alignment horizontal="right" vertical="center"/>
    </xf>
    <xf borderId="0" fillId="0" fontId="8" numFmtId="167" xfId="0" applyAlignment="1" applyFont="1" applyNumberFormat="1">
      <alignment horizontal="center" vertical="center"/>
    </xf>
    <xf borderId="9" fillId="9" fontId="1" numFmtId="0" xfId="0" applyAlignment="1" applyBorder="1" applyFill="1" applyFont="1">
      <alignment vertical="center"/>
    </xf>
    <xf borderId="9" fillId="9" fontId="7" numFmtId="0" xfId="0" applyAlignment="1" applyBorder="1" applyFont="1">
      <alignment horizontal="center" shrinkToFit="1" vertical="center" wrapText="0"/>
    </xf>
    <xf borderId="9" fillId="9" fontId="7" numFmtId="0" xfId="0" applyAlignment="1" applyBorder="1" applyFont="1">
      <alignment vertical="center"/>
    </xf>
    <xf borderId="9" fillId="9" fontId="7" numFmtId="37" xfId="0" applyAlignment="1" applyBorder="1" applyFont="1" applyNumberFormat="1">
      <alignment vertical="center"/>
    </xf>
    <xf borderId="9" fillId="9" fontId="12" numFmtId="37" xfId="0" applyAlignment="1" applyBorder="1" applyFont="1" applyNumberFormat="1">
      <alignment horizontal="center" vertical="center"/>
    </xf>
    <xf borderId="9" fillId="9" fontId="7" numFmtId="170" xfId="0" applyAlignment="1" applyBorder="1" applyFont="1" applyNumberFormat="1">
      <alignment horizontal="right" vertical="center"/>
    </xf>
    <xf borderId="9" fillId="9" fontId="7" numFmtId="39" xfId="0" applyAlignment="1" applyBorder="1" applyFont="1" applyNumberFormat="1">
      <alignment vertical="center"/>
    </xf>
    <xf borderId="9" fillId="9" fontId="7" numFmtId="37" xfId="0" applyAlignment="1" applyBorder="1" applyFont="1" applyNumberFormat="1">
      <alignment horizontal="center" vertical="center"/>
    </xf>
    <xf borderId="9" fillId="4" fontId="1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37" xfId="0" applyAlignment="1" applyFont="1" applyNumberFormat="1">
      <alignment vertical="center"/>
    </xf>
    <xf borderId="0" fillId="0" fontId="12" numFmtId="37" xfId="0" applyAlignment="1" applyFont="1" applyNumberFormat="1">
      <alignment horizontal="center" vertical="center"/>
    </xf>
    <xf borderId="0" fillId="0" fontId="7" numFmtId="37" xfId="0" applyAlignment="1" applyFont="1" applyNumberFormat="1">
      <alignment vertical="center"/>
    </xf>
    <xf borderId="0" fillId="0" fontId="8" numFmtId="39" xfId="0" applyAlignment="1" applyFont="1" applyNumberFormat="1">
      <alignment vertical="center"/>
    </xf>
    <xf borderId="0" fillId="0" fontId="8" numFmtId="37" xfId="0" applyAlignment="1" applyFont="1" applyNumberFormat="1">
      <alignment horizontal="center" vertical="center"/>
    </xf>
    <xf borderId="9" fillId="4" fontId="5" numFmtId="0" xfId="0" applyAlignment="1" applyBorder="1" applyFont="1">
      <alignment horizontal="center" vertical="center"/>
    </xf>
    <xf borderId="9" fillId="10" fontId="13" numFmtId="0" xfId="0" applyAlignment="1" applyBorder="1" applyFill="1" applyFont="1">
      <alignment vertical="bottom"/>
    </xf>
    <xf borderId="0" fillId="0" fontId="14" numFmtId="164" xfId="0" applyAlignment="1" applyFont="1" applyNumberFormat="1">
      <alignment horizontal="center" vertical="bottom"/>
    </xf>
    <xf borderId="0" fillId="0" fontId="14" numFmtId="173" xfId="0" applyAlignment="1" applyFont="1" applyNumberFormat="1">
      <alignment vertical="bottom"/>
    </xf>
    <xf borderId="2" fillId="0" fontId="14" numFmtId="164" xfId="0" applyAlignment="1" applyBorder="1" applyFont="1" applyNumberFormat="1">
      <alignment horizontal="center" vertical="bottom"/>
    </xf>
    <xf borderId="2" fillId="0" fontId="14" numFmtId="173" xfId="0" applyAlignment="1" applyBorder="1" applyFont="1" applyNumberFormat="1">
      <alignment vertical="bottom"/>
    </xf>
    <xf borderId="0" fillId="0" fontId="15" numFmtId="173" xfId="0" applyAlignment="1" applyFont="1" applyNumberFormat="1">
      <alignment vertical="bottom"/>
    </xf>
    <xf borderId="9" fillId="7" fontId="14" numFmtId="164" xfId="0" applyAlignment="1" applyBorder="1" applyFont="1" applyNumberFormat="1">
      <alignment horizontal="center" vertical="bottom"/>
    </xf>
    <xf borderId="9" fillId="7" fontId="16" numFmtId="173" xfId="0" applyAlignment="1" applyBorder="1" applyFont="1" applyNumberFormat="1">
      <alignment horizontal="center" vertical="bottom"/>
    </xf>
    <xf borderId="9" fillId="7" fontId="14" numFmtId="173" xfId="0" applyAlignment="1" applyBorder="1" applyFont="1" applyNumberFormat="1">
      <alignment horizontal="center" vertical="bottom"/>
    </xf>
    <xf borderId="9" fillId="11" fontId="17" numFmtId="0" xfId="0" applyAlignment="1" applyBorder="1" applyFill="1" applyFont="1">
      <alignment horizontal="center" vertical="bottom"/>
    </xf>
    <xf borderId="9" fillId="11" fontId="16" numFmtId="10" xfId="0" applyAlignment="1" applyBorder="1" applyFont="1" applyNumberFormat="1">
      <alignment horizontal="right" vertical="bottom"/>
    </xf>
    <xf borderId="9" fillId="11" fontId="16" numFmtId="10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left" readingOrder="0" vertical="center"/>
    </xf>
    <xf borderId="11" fillId="0" fontId="10" numFmtId="165" xfId="0" applyAlignment="1" applyBorder="1" applyFont="1" applyNumberFormat="1">
      <alignment horizontal="center" readingOrder="0" shrinkToFit="0" vertical="center" wrapText="0"/>
    </xf>
    <xf borderId="4" fillId="12" fontId="9" numFmtId="38" xfId="0" applyAlignment="1" applyBorder="1" applyFill="1" applyFont="1" applyNumberFormat="1">
      <alignment horizontal="right" readingOrder="0" vertical="center"/>
    </xf>
    <xf borderId="11" fillId="12" fontId="10" numFmtId="0" xfId="0" applyAlignment="1" applyBorder="1" applyFont="1">
      <alignment horizontal="center" readingOrder="0" shrinkToFit="0" vertical="center" wrapText="0"/>
    </xf>
    <xf borderId="7" fillId="12" fontId="8" numFmtId="169" xfId="0" applyAlignment="1" applyBorder="1" applyFont="1" applyNumberFormat="1">
      <alignment horizontal="center" readingOrder="0" vertical="center"/>
    </xf>
    <xf borderId="9" fillId="7" fontId="14" numFmtId="164" xfId="0" applyAlignment="1" applyBorder="1" applyFont="1" applyNumberFormat="1">
      <alignment horizontal="center" readingOrder="0" vertical="bottom"/>
    </xf>
    <xf borderId="4" fillId="6" fontId="8" numFmtId="167" xfId="0" applyAlignment="1" applyBorder="1" applyFont="1" applyNumberFormat="1">
      <alignment horizontal="left" readingOrder="0" vertical="center"/>
    </xf>
    <xf borderId="4" fillId="6" fontId="8" numFmtId="167" xfId="0" applyAlignment="1" applyBorder="1" applyFont="1" applyNumberFormat="1">
      <alignment horizontal="right" readingOrder="0" vertical="center"/>
    </xf>
    <xf borderId="4" fillId="6" fontId="8" numFmtId="174" xfId="0" applyAlignment="1" applyBorder="1" applyFont="1" applyNumberFormat="1">
      <alignment horizontal="right" vertical="center"/>
    </xf>
    <xf borderId="4" fillId="6" fontId="8" numFmtId="0" xfId="0" applyAlignment="1" applyBorder="1" applyFont="1">
      <alignment horizontal="right" readingOrder="0" vertical="center"/>
    </xf>
    <xf borderId="4" fillId="6" fontId="8" numFmtId="38" xfId="0" applyAlignment="1" applyBorder="1" applyFont="1" applyNumberFormat="1">
      <alignment horizontal="right" readingOrder="0" vertical="center"/>
    </xf>
    <xf borderId="4" fillId="7" fontId="8" numFmtId="167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readingOrder="0" vertical="center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5" numFmtId="175" xfId="0" applyAlignment="1" applyFont="1" applyNumberFormat="1">
      <alignment vertical="center"/>
    </xf>
    <xf borderId="0" fillId="0" fontId="8" numFmtId="173" xfId="0" applyAlignment="1" applyFont="1" applyNumberFormat="1">
      <alignment vertical="center"/>
    </xf>
    <xf borderId="0" fillId="0" fontId="8" numFmtId="3" xfId="0" applyAlignment="1" applyFont="1" applyNumberFormat="1">
      <alignment readingOrder="0" vertical="center"/>
    </xf>
    <xf borderId="9" fillId="7" fontId="14" numFmtId="16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2" fillId="0" fontId="1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readingOrder="0" vertical="center"/>
    </xf>
    <xf borderId="2" fillId="0" fontId="19" numFmtId="0" xfId="0" applyAlignment="1" applyBorder="1" applyFont="1">
      <alignment vertical="center"/>
    </xf>
    <xf borderId="13" fillId="0" fontId="19" numFmtId="0" xfId="0" applyAlignment="1" applyBorder="1" applyFont="1">
      <alignment vertical="center"/>
    </xf>
    <xf borderId="2" fillId="0" fontId="5" numFmtId="0" xfId="0" applyAlignment="1" applyBorder="1" applyFon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14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 vertical="center"/>
    </xf>
    <xf borderId="16" fillId="4" fontId="5" numFmtId="0" xfId="0" applyAlignment="1" applyBorder="1" applyFont="1">
      <alignment vertical="center"/>
    </xf>
    <xf borderId="4" fillId="0" fontId="8" numFmtId="176" xfId="0" applyAlignment="1" applyBorder="1" applyFont="1" applyNumberFormat="1">
      <alignment horizontal="center" readingOrder="0" vertical="center"/>
    </xf>
    <xf borderId="4" fillId="5" fontId="8" numFmtId="165" xfId="0" applyAlignment="1" applyBorder="1" applyFont="1" applyNumberFormat="1">
      <alignment horizontal="center" readingOrder="0" shrinkToFit="0" vertical="center" wrapText="0"/>
    </xf>
    <xf borderId="10" fillId="6" fontId="8" numFmtId="0" xfId="0" applyAlignment="1" applyBorder="1" applyFont="1">
      <alignment horizontal="center" readingOrder="0" shrinkToFit="0" vertical="center" wrapText="0"/>
    </xf>
    <xf borderId="4" fillId="6" fontId="8" numFmtId="169" xfId="0" applyAlignment="1" applyBorder="1" applyFont="1" applyNumberFormat="1">
      <alignment horizontal="center" vertical="center"/>
    </xf>
    <xf borderId="8" fillId="6" fontId="9" numFmtId="38" xfId="0" applyAlignment="1" applyBorder="1" applyFont="1" applyNumberFormat="1">
      <alignment horizontal="right" vertical="center"/>
    </xf>
    <xf borderId="4" fillId="0" fontId="8" numFmtId="171" xfId="0" applyAlignment="1" applyBorder="1" applyFont="1" applyNumberFormat="1">
      <alignment horizontal="center" readingOrder="0" vertical="center"/>
    </xf>
    <xf borderId="4" fillId="0" fontId="8" numFmtId="4" xfId="0" applyAlignment="1" applyBorder="1" applyFont="1" applyNumberFormat="1">
      <alignment horizontal="right" readingOrder="0" vertical="center"/>
    </xf>
    <xf borderId="15" fillId="0" fontId="8" numFmtId="10" xfId="0" applyAlignment="1" applyBorder="1" applyFont="1" applyNumberFormat="1">
      <alignment horizontal="right" vertical="center"/>
    </xf>
    <xf borderId="8" fillId="0" fontId="8" numFmtId="167" xfId="0" applyAlignment="1" applyBorder="1" applyFont="1" applyNumberFormat="1">
      <alignment horizontal="left" readingOrder="0" vertical="center"/>
    </xf>
    <xf borderId="4" fillId="0" fontId="8" numFmtId="167" xfId="0" applyAlignment="1" applyBorder="1" applyFont="1" applyNumberFormat="1">
      <alignment horizontal="left" readingOrder="0" vertical="center"/>
    </xf>
    <xf borderId="15" fillId="0" fontId="8" numFmtId="167" xfId="0" applyAlignment="1" applyBorder="1" applyFont="1" applyNumberFormat="1">
      <alignment horizontal="left" readingOrder="0" vertical="center"/>
    </xf>
    <xf borderId="4" fillId="0" fontId="8" numFmtId="167" xfId="0" applyAlignment="1" applyBorder="1" applyFont="1" applyNumberFormat="1">
      <alignment horizontal="left" vertical="center"/>
    </xf>
    <xf borderId="15" fillId="0" fontId="8" numFmtId="167" xfId="0" applyAlignment="1" applyBorder="1" applyFont="1" applyNumberFormat="1">
      <alignment horizontal="left" vertical="center"/>
    </xf>
    <xf borderId="8" fillId="0" fontId="8" numFmtId="4" xfId="0" applyAlignment="1" applyBorder="1" applyFont="1" applyNumberFormat="1">
      <alignment horizontal="right" vertical="center"/>
    </xf>
    <xf borderId="16" fillId="4" fontId="5" numFmtId="166" xfId="0" applyAlignment="1" applyBorder="1" applyFont="1" applyNumberFormat="1">
      <alignment vertical="center"/>
    </xf>
    <xf borderId="4" fillId="0" fontId="8" numFmtId="176" xfId="0" applyAlignment="1" applyBorder="1" applyFont="1" applyNumberFormat="1">
      <alignment horizontal="center" readingOrder="0" vertical="center"/>
    </xf>
    <xf borderId="11" fillId="5" fontId="8" numFmtId="165" xfId="0" applyAlignment="1" applyBorder="1" applyFont="1" applyNumberFormat="1">
      <alignment horizontal="center" readingOrder="0" shrinkToFit="0" vertical="center" wrapText="0"/>
    </xf>
    <xf borderId="3" fillId="6" fontId="8" numFmtId="0" xfId="0" applyAlignment="1" applyBorder="1" applyFont="1">
      <alignment horizontal="center" readingOrder="0" shrinkToFit="0" vertical="center" wrapText="0"/>
    </xf>
    <xf borderId="15" fillId="0" fontId="8" numFmtId="4" xfId="0" applyAlignment="1" applyBorder="1" applyFont="1" applyNumberFormat="1">
      <alignment horizontal="right" vertical="center"/>
    </xf>
    <xf borderId="8" fillId="0" fontId="8" numFmtId="38" xfId="0" applyAlignment="1" applyBorder="1" applyFont="1" applyNumberFormat="1">
      <alignment horizontal="right" vertical="center"/>
    </xf>
    <xf borderId="8" fillId="0" fontId="8" numFmtId="167" xfId="0" applyAlignment="1" applyBorder="1" applyFont="1" applyNumberFormat="1">
      <alignment horizontal="left" vertical="center"/>
    </xf>
    <xf borderId="9" fillId="4" fontId="5" numFmtId="0" xfId="0" applyAlignment="1" applyBorder="1" applyFont="1">
      <alignment readingOrder="0" vertical="center"/>
    </xf>
    <xf borderId="11" fillId="0" fontId="8" numFmtId="165" xfId="0" applyAlignment="1" applyBorder="1" applyFont="1" applyNumberFormat="1">
      <alignment horizontal="center" readingOrder="0" shrinkToFit="0" vertical="center" wrapText="0"/>
    </xf>
    <xf borderId="8" fillId="13" fontId="8" numFmtId="38" xfId="0" applyAlignment="1" applyBorder="1" applyFill="1" applyFont="1" applyNumberFormat="1">
      <alignment horizontal="right" vertical="center"/>
    </xf>
    <xf borderId="4" fillId="13" fontId="8" numFmtId="169" xfId="0" applyAlignment="1" applyBorder="1" applyFont="1" applyNumberFormat="1">
      <alignment horizontal="center" readingOrder="0" vertical="center"/>
    </xf>
    <xf borderId="8" fillId="13" fontId="9" numFmtId="38" xfId="0" applyAlignment="1" applyBorder="1" applyFont="1" applyNumberFormat="1">
      <alignment horizontal="right" readingOrder="0" vertical="center"/>
    </xf>
    <xf borderId="4" fillId="13" fontId="8" numFmtId="38" xfId="0" applyAlignment="1" applyBorder="1" applyFont="1" applyNumberFormat="1">
      <alignment horizontal="right" readingOrder="0" vertical="center"/>
    </xf>
    <xf borderId="6" fillId="13" fontId="8" numFmtId="38" xfId="0" applyAlignment="1" applyBorder="1" applyFont="1" applyNumberFormat="1">
      <alignment horizontal="right" readingOrder="0" vertical="center"/>
    </xf>
    <xf borderId="4" fillId="13" fontId="8" numFmtId="10" xfId="0" applyAlignment="1" applyBorder="1" applyFont="1" applyNumberFormat="1">
      <alignment horizontal="right" vertical="center"/>
    </xf>
    <xf borderId="4" fillId="0" fontId="8" numFmtId="172" xfId="0" applyAlignment="1" applyBorder="1" applyFont="1" applyNumberFormat="1">
      <alignment horizontal="center" readingOrder="0" vertical="center"/>
    </xf>
    <xf borderId="4" fillId="0" fontId="8" numFmtId="10" xfId="0" applyAlignment="1" applyBorder="1" applyFont="1" applyNumberFormat="1">
      <alignment horizontal="left" vertical="center"/>
    </xf>
    <xf borderId="15" fillId="0" fontId="8" numFmtId="10" xfId="0" applyAlignment="1" applyBorder="1" applyFont="1" applyNumberFormat="1">
      <alignment horizontal="left" vertical="center"/>
    </xf>
    <xf borderId="4" fillId="0" fontId="8" numFmtId="38" xfId="0" applyAlignment="1" applyBorder="1" applyFont="1" applyNumberFormat="1">
      <alignment horizontal="right" readingOrder="0" vertical="center"/>
    </xf>
    <xf borderId="4" fillId="0" fontId="8" numFmtId="10" xfId="0" applyAlignment="1" applyBorder="1" applyFont="1" applyNumberFormat="1">
      <alignment horizontal="left" readingOrder="0" vertical="center"/>
    </xf>
    <xf borderId="15" fillId="0" fontId="8" numFmtId="10" xfId="0" applyAlignment="1" applyBorder="1" applyFont="1" applyNumberFormat="1">
      <alignment horizontal="left" readingOrder="0" vertical="center"/>
    </xf>
    <xf borderId="4" fillId="0" fontId="8" numFmtId="4" xfId="0" applyAlignment="1" applyBorder="1" applyFont="1" applyNumberFormat="1">
      <alignment horizontal="right" vertical="center"/>
    </xf>
    <xf borderId="3" fillId="6" fontId="8" numFmtId="38" xfId="0" applyAlignment="1" applyBorder="1" applyFont="1" applyNumberFormat="1">
      <alignment horizontal="center" readingOrder="0" shrinkToFit="0" vertical="center" wrapText="0"/>
    </xf>
    <xf borderId="6" fillId="6" fontId="8" numFmtId="38" xfId="0" applyAlignment="1" applyBorder="1" applyFont="1" applyNumberFormat="1">
      <alignment horizontal="right" readingOrder="0" vertical="center"/>
    </xf>
    <xf borderId="8" fillId="13" fontId="8" numFmtId="38" xfId="0" applyAlignment="1" applyBorder="1" applyFont="1" applyNumberFormat="1">
      <alignment horizontal="right" readingOrder="0" vertical="center"/>
    </xf>
    <xf borderId="3" fillId="12" fontId="8" numFmtId="0" xfId="0" applyAlignment="1" applyBorder="1" applyFont="1">
      <alignment horizontal="center" readingOrder="0" shrinkToFit="0" vertical="center" wrapText="0"/>
    </xf>
    <xf borderId="8" fillId="6" fontId="9" numFmtId="38" xfId="0" applyAlignment="1" applyBorder="1" applyFont="1" applyNumberFormat="1">
      <alignment horizontal="right" readingOrder="0" vertical="center"/>
    </xf>
    <xf borderId="9" fillId="9" fontId="1" numFmtId="0" xfId="0" applyAlignment="1" applyBorder="1" applyFont="1">
      <alignment horizontal="center" vertical="center"/>
    </xf>
    <xf borderId="9" fillId="9" fontId="7" numFmtId="3" xfId="0" applyAlignment="1" applyBorder="1" applyFont="1" applyNumberFormat="1">
      <alignment vertical="center"/>
    </xf>
    <xf borderId="16" fillId="9" fontId="7" numFmtId="3" xfId="0" applyAlignment="1" applyBorder="1" applyFont="1" applyNumberFormat="1">
      <alignment vertical="center"/>
    </xf>
    <xf borderId="9" fillId="4" fontId="20" numFmtId="0" xfId="0" applyAlignment="1" applyBorder="1" applyFont="1">
      <alignment readingOrder="0" vertical="center"/>
    </xf>
    <xf borderId="9" fillId="4" fontId="21" numFmtId="0" xfId="0" applyAlignment="1" applyBorder="1" applyFont="1">
      <alignment readingOrder="0" vertical="center"/>
    </xf>
    <xf borderId="0" fillId="0" fontId="21" numFmtId="37" xfId="0" applyAlignment="1" applyFont="1" applyNumberFormat="1">
      <alignment vertical="center"/>
    </xf>
    <xf borderId="0" fillId="0" fontId="21" numFmtId="39" xfId="0" applyAlignment="1" applyFont="1" applyNumberFormat="1">
      <alignment vertical="center"/>
    </xf>
    <xf borderId="0" fillId="0" fontId="22" numFmtId="0" xfId="0" applyAlignment="1" applyFont="1">
      <alignment vertical="bottom"/>
    </xf>
    <xf borderId="0" fillId="0" fontId="21" numFmtId="0" xfId="0" applyAlignment="1" applyFont="1">
      <alignment readingOrder="0" vertical="center"/>
    </xf>
    <xf borderId="0" fillId="0" fontId="21" numFmtId="37" xfId="0" applyAlignment="1" applyFont="1" applyNumberFormat="1">
      <alignment readingOrder="0" vertical="center"/>
    </xf>
    <xf borderId="0" fillId="0" fontId="23" numFmtId="0" xfId="0" applyAlignment="1" applyFont="1">
      <alignment readingOrder="0" vertical="bottom"/>
    </xf>
    <xf borderId="4" fillId="0" fontId="21" numFmtId="176" xfId="0" applyAlignment="1" applyBorder="1" applyFont="1" applyNumberFormat="1">
      <alignment horizontal="center" readingOrder="0" vertical="center"/>
    </xf>
    <xf borderId="4" fillId="0" fontId="21" numFmtId="38" xfId="0" applyAlignment="1" applyBorder="1" applyFont="1" applyNumberFormat="1">
      <alignment horizontal="right" readingOrder="0" vertical="center"/>
    </xf>
    <xf borderId="0" fillId="0" fontId="21" numFmtId="39" xfId="0" applyAlignment="1" applyFont="1" applyNumberFormat="1">
      <alignment horizontal="left" vertical="center"/>
    </xf>
    <xf borderId="4" fillId="0" fontId="21" numFmtId="176" xfId="0" applyAlignment="1" applyBorder="1" applyFont="1" applyNumberFormat="1">
      <alignment horizontal="center" readingOrder="0" vertical="center"/>
    </xf>
    <xf borderId="4" fillId="0" fontId="21" numFmtId="38" xfId="0" applyAlignment="1" applyBorder="1" applyFont="1" applyNumberFormat="1">
      <alignment readingOrder="0" vertical="center"/>
    </xf>
    <xf borderId="4" fillId="6" fontId="21" numFmtId="169" xfId="0" applyAlignment="1" applyBorder="1" applyFont="1" applyNumberFormat="1">
      <alignment horizontal="center" vertical="center"/>
    </xf>
    <xf borderId="0" fillId="0" fontId="21" numFmtId="10" xfId="0" applyAlignment="1" applyFont="1" applyNumberFormat="1">
      <alignment horizontal="left" vertical="center"/>
    </xf>
    <xf borderId="4" fillId="0" fontId="21" numFmtId="167" xfId="0" applyAlignment="1" applyBorder="1" applyFont="1" applyNumberFormat="1">
      <alignment vertical="center"/>
    </xf>
    <xf borderId="4" fillId="13" fontId="21" numFmtId="169" xfId="0" applyAlignment="1" applyBorder="1" applyFont="1" applyNumberFormat="1">
      <alignment horizontal="center" readingOrder="0" vertical="center"/>
    </xf>
    <xf borderId="4" fillId="0" fontId="21" numFmtId="3" xfId="0" applyAlignment="1" applyBorder="1" applyFont="1" applyNumberFormat="1">
      <alignment horizontal="right" readingOrder="0" shrinkToFit="0" vertical="center" wrapText="0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left" vertical="center"/>
    </xf>
    <xf borderId="4" fillId="0" fontId="21" numFmtId="3" xfId="0" applyAlignment="1" applyBorder="1" applyFont="1" applyNumberFormat="1">
      <alignment readingOrder="0" vertical="center"/>
    </xf>
    <xf borderId="8" fillId="0" fontId="21" numFmtId="167" xfId="0" applyAlignment="1" applyBorder="1" applyFont="1" applyNumberFormat="1">
      <alignment horizontal="right" vertical="center"/>
    </xf>
    <xf borderId="0" fillId="0" fontId="21" numFmtId="0" xfId="0" applyAlignment="1" applyFont="1">
      <alignment vertical="center"/>
    </xf>
    <xf borderId="4" fillId="0" fontId="21" numFmtId="38" xfId="0" applyAlignment="1" applyBorder="1" applyFont="1" applyNumberFormat="1">
      <alignment readingOrder="0" vertical="center"/>
    </xf>
    <xf borderId="4" fillId="0" fontId="21" numFmtId="167" xfId="0" applyAlignment="1" applyBorder="1" applyFont="1" applyNumberFormat="1">
      <alignment horizontal="right" vertical="center"/>
    </xf>
    <xf borderId="4" fillId="0" fontId="21" numFmtId="167" xfId="0" applyAlignment="1" applyBorder="1" applyFont="1" applyNumberFormat="1">
      <alignment vertical="center"/>
    </xf>
    <xf borderId="4" fillId="0" fontId="21" numFmtId="38" xfId="0" applyAlignment="1" applyBorder="1" applyFont="1" applyNumberFormat="1">
      <alignment horizontal="right" vertical="center"/>
    </xf>
    <xf borderId="9" fillId="11" fontId="17" numFmtId="0" xfId="0" applyAlignment="1" applyBorder="1" applyFont="1">
      <alignment horizontal="center" readingOrder="0" vertical="bottom"/>
    </xf>
    <xf borderId="4" fillId="0" fontId="21" numFmtId="38" xfId="0" applyAlignment="1" applyBorder="1" applyFont="1" applyNumberFormat="1">
      <alignment vertical="center"/>
    </xf>
    <xf borderId="0" fillId="0" fontId="21" numFmtId="0" xfId="0" applyAlignment="1" applyFont="1">
      <alignment readingOrder="0" vertical="center"/>
    </xf>
    <xf borderId="4" fillId="0" fontId="21" numFmtId="176" xfId="0" applyAlignment="1" applyBorder="1" applyFont="1" applyNumberFormat="1">
      <alignment vertical="center"/>
    </xf>
    <xf borderId="4" fillId="0" fontId="21" numFmtId="38" xfId="0" applyAlignment="1" applyBorder="1" applyFont="1" applyNumberFormat="1">
      <alignment vertical="center"/>
    </xf>
    <xf borderId="4" fillId="6" fontId="21" numFmtId="176" xfId="0" applyAlignment="1" applyBorder="1" applyFont="1" applyNumberFormat="1">
      <alignment readingOrder="0" vertical="center"/>
    </xf>
    <xf borderId="0" fillId="0" fontId="20" numFmtId="0" xfId="0" applyAlignment="1" applyFont="1">
      <alignment readingOrder="0" vertical="center"/>
    </xf>
    <xf borderId="4" fillId="0" fontId="24" numFmtId="38" xfId="0" applyAlignment="1" applyBorder="1" applyFont="1" applyNumberFormat="1">
      <alignment vertical="center"/>
    </xf>
    <xf borderId="4" fillId="0" fontId="21" numFmtId="176" xfId="0" applyAlignment="1" applyBorder="1" applyFont="1" applyNumberFormat="1">
      <alignment vertical="center"/>
    </xf>
    <xf borderId="4" fillId="0" fontId="24" numFmtId="38" xfId="0" applyAlignment="1" applyBorder="1" applyFont="1" applyNumberFormat="1">
      <alignment vertical="center"/>
    </xf>
    <xf borderId="4" fillId="0" fontId="25" numFmtId="3" xfId="0" applyAlignment="1" applyBorder="1" applyFont="1" applyNumberFormat="1">
      <alignment horizontal="right" readingOrder="0" shrinkToFit="0" vertical="center" wrapText="0"/>
    </xf>
    <xf borderId="4" fillId="0" fontId="26" numFmtId="3" xfId="0" applyAlignment="1" applyBorder="1" applyFont="1" applyNumberFormat="1">
      <alignment readingOrder="0" vertical="center"/>
    </xf>
    <xf borderId="10" fillId="2" fontId="6" numFmtId="0" xfId="0" applyAlignment="1" applyBorder="1" applyFont="1">
      <alignment horizontal="center" readingOrder="0" vertical="center"/>
    </xf>
    <xf borderId="4" fillId="14" fontId="27" numFmtId="0" xfId="0" applyAlignment="1" applyBorder="1" applyFill="1" applyFont="1">
      <alignment horizontal="center" shrinkToFit="1" vertical="center" wrapText="0"/>
    </xf>
    <xf borderId="4" fillId="0" fontId="8" numFmtId="170" xfId="0" applyAlignment="1" applyBorder="1" applyFont="1" applyNumberFormat="1">
      <alignment horizontal="right" vertical="center"/>
    </xf>
    <xf borderId="4" fillId="6" fontId="8" numFmtId="169" xfId="0" applyAlignment="1" applyBorder="1" applyFont="1" applyNumberFormat="1">
      <alignment horizontal="center" readingOrder="0" vertical="center"/>
    </xf>
    <xf borderId="4" fillId="14" fontId="27" numFmtId="0" xfId="0" applyAlignment="1" applyBorder="1" applyFont="1">
      <alignment horizontal="center" vertical="center"/>
    </xf>
    <xf borderId="4" fillId="15" fontId="8" numFmtId="0" xfId="0" applyAlignment="1" applyBorder="1" applyFill="1" applyFont="1">
      <alignment horizontal="center" shrinkToFit="1" vertical="center" wrapText="0"/>
    </xf>
    <xf borderId="3" fillId="16" fontId="8" numFmtId="0" xfId="0" applyAlignment="1" applyBorder="1" applyFill="1" applyFont="1">
      <alignment horizontal="center" readingOrder="0" shrinkToFit="0" vertical="center" wrapText="0"/>
    </xf>
    <xf borderId="4" fillId="16" fontId="8" numFmtId="169" xfId="0" applyAlignment="1" applyBorder="1" applyFont="1" applyNumberFormat="1">
      <alignment horizontal="center" readingOrder="0" vertical="center"/>
    </xf>
    <xf borderId="8" fillId="16" fontId="9" numFmtId="38" xfId="0" applyAlignment="1" applyBorder="1" applyFont="1" applyNumberFormat="1">
      <alignment horizontal="right" readingOrder="0" vertical="center"/>
    </xf>
    <xf borderId="4" fillId="16" fontId="8" numFmtId="38" xfId="0" applyAlignment="1" applyBorder="1" applyFont="1" applyNumberFormat="1">
      <alignment horizontal="right" readingOrder="0" vertical="center"/>
    </xf>
    <xf borderId="6" fillId="16" fontId="8" numFmtId="38" xfId="0" applyAlignment="1" applyBorder="1" applyFont="1" applyNumberFormat="1">
      <alignment horizontal="right" readingOrder="0" vertical="center"/>
    </xf>
    <xf borderId="4" fillId="16" fontId="8" numFmtId="10" xfId="0" applyAlignment="1" applyBorder="1" applyFont="1" applyNumberFormat="1">
      <alignment horizontal="right" vertical="center"/>
    </xf>
    <xf borderId="4" fillId="16" fontId="8" numFmtId="168" xfId="0" applyAlignment="1" applyBorder="1" applyFont="1" applyNumberFormat="1">
      <alignment horizontal="right" vertical="center"/>
    </xf>
    <xf borderId="4" fillId="16" fontId="8" numFmtId="167" xfId="0" applyAlignment="1" applyBorder="1" applyFont="1" applyNumberFormat="1">
      <alignment horizontal="right" readingOrder="0" vertical="center"/>
    </xf>
    <xf borderId="4" fillId="16" fontId="8" numFmtId="170" xfId="0" applyAlignment="1" applyBorder="1" applyFont="1" applyNumberFormat="1">
      <alignment horizontal="right" vertical="center"/>
    </xf>
    <xf borderId="4" fillId="17" fontId="27" numFmtId="0" xfId="0" applyAlignment="1" applyBorder="1" applyFill="1" applyFont="1">
      <alignment horizontal="center" shrinkToFit="1" vertical="center" wrapText="0"/>
    </xf>
    <xf borderId="17" fillId="0" fontId="8" numFmtId="170" xfId="0" applyAlignment="1" applyBorder="1" applyFont="1" applyNumberFormat="1">
      <alignment horizontal="right" vertical="center"/>
    </xf>
    <xf borderId="0" fillId="0" fontId="26" numFmtId="38" xfId="0" applyAlignment="1" applyFont="1" applyNumberFormat="1">
      <alignment vertical="center"/>
    </xf>
    <xf borderId="0" fillId="0" fontId="26" numFmtId="167" xfId="0" applyAlignment="1" applyFont="1" applyNumberFormat="1">
      <alignment vertical="center"/>
    </xf>
    <xf borderId="18" fillId="0" fontId="8" numFmtId="170" xfId="0" applyAlignment="1" applyBorder="1" applyFont="1" applyNumberFormat="1">
      <alignment horizontal="right" vertical="center"/>
    </xf>
    <xf borderId="0" fillId="0" fontId="28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0"/>
    </xf>
    <xf borderId="0" fillId="0" fontId="26" numFmtId="0" xfId="0" applyAlignment="1" applyFont="1">
      <alignment shrinkToFit="0" vertical="center" wrapText="0"/>
    </xf>
    <xf borderId="0" fillId="2" fontId="29" numFmtId="0" xfId="0" applyAlignment="1" applyFont="1">
      <alignment horizontal="center" readingOrder="0" shrinkToFit="0" vertical="center" wrapText="1"/>
    </xf>
    <xf borderId="0" fillId="15" fontId="30" numFmtId="0" xfId="0" applyAlignment="1" applyFont="1">
      <alignment horizontal="center" shrinkToFit="0" vertical="center" wrapText="1"/>
    </xf>
    <xf borderId="4" fillId="18" fontId="31" numFmtId="0" xfId="0" applyAlignment="1" applyBorder="1" applyFill="1" applyFont="1">
      <alignment horizontal="center" readingOrder="0" shrinkToFit="0" vertical="center" wrapText="0"/>
    </xf>
    <xf borderId="4" fillId="19" fontId="20" numFmtId="0" xfId="0" applyAlignment="1" applyBorder="1" applyFill="1" applyFont="1">
      <alignment horizontal="center" vertical="center"/>
    </xf>
    <xf borderId="4" fillId="19" fontId="20" numFmtId="0" xfId="0" applyAlignment="1" applyBorder="1" applyFont="1">
      <alignment horizontal="center" shrinkToFit="0" vertical="center" wrapText="0"/>
    </xf>
    <xf borderId="10" fillId="6" fontId="20" numFmtId="0" xfId="0" applyAlignment="1" applyBorder="1" applyFont="1">
      <alignment horizontal="center" vertical="center"/>
    </xf>
    <xf borderId="17" fillId="0" fontId="28" numFmtId="0" xfId="0" applyAlignment="1" applyBorder="1" applyFont="1">
      <alignment horizontal="center" shrinkToFit="0" vertical="center" wrapText="0"/>
    </xf>
    <xf borderId="4" fillId="0" fontId="21" numFmtId="0" xfId="0" applyAlignment="1" applyBorder="1" applyFont="1">
      <alignment horizontal="center" vertical="center"/>
    </xf>
    <xf borderId="0" fillId="0" fontId="26" numFmtId="177" xfId="0" applyAlignment="1" applyFont="1" applyNumberFormat="1">
      <alignment readingOrder="0" vertical="center"/>
    </xf>
    <xf borderId="11" fillId="0" fontId="32" numFmtId="0" xfId="0" applyAlignment="1" applyBorder="1" applyFont="1">
      <alignment horizontal="center" vertical="center"/>
    </xf>
    <xf borderId="17" fillId="0" fontId="21" numFmtId="0" xfId="0" applyAlignment="1" applyBorder="1" applyFont="1">
      <alignment horizontal="center" readingOrder="0" shrinkToFit="0" vertical="center" wrapText="1"/>
    </xf>
    <xf borderId="17" fillId="20" fontId="20" numFmtId="0" xfId="0" applyAlignment="1" applyBorder="1" applyFill="1" applyFont="1">
      <alignment horizontal="center" readingOrder="0" shrinkToFit="0" vertical="center" wrapText="0"/>
    </xf>
    <xf borderId="4" fillId="0" fontId="21" numFmtId="0" xfId="0" applyAlignment="1" applyBorder="1" applyFont="1">
      <alignment vertical="bottom"/>
    </xf>
    <xf borderId="11" fillId="0" fontId="19" numFmtId="0" xfId="0" applyAlignment="1" applyBorder="1" applyFont="1">
      <alignment vertical="center"/>
    </xf>
    <xf borderId="4" fillId="0" fontId="21" numFmtId="165" xfId="0" applyAlignment="1" applyBorder="1" applyFont="1" applyNumberFormat="1">
      <alignment horizontal="center" vertical="center"/>
    </xf>
    <xf borderId="4" fillId="0" fontId="21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0"/>
    </xf>
    <xf borderId="17" fillId="5" fontId="28" numFmtId="0" xfId="0" applyAlignment="1" applyBorder="1" applyFont="1">
      <alignment horizontal="center" shrinkToFit="0" vertical="center" wrapText="0"/>
    </xf>
    <xf borderId="4" fillId="5" fontId="21" numFmtId="0" xfId="0" applyAlignment="1" applyBorder="1" applyFont="1">
      <alignment horizontal="center" vertical="center"/>
    </xf>
    <xf borderId="0" fillId="5" fontId="26" numFmtId="177" xfId="0" applyAlignment="1" applyFont="1" applyNumberFormat="1">
      <alignment readingOrder="0" vertical="center"/>
    </xf>
    <xf borderId="4" fillId="5" fontId="32" numFmtId="0" xfId="0" applyAlignment="1" applyBorder="1" applyFont="1">
      <alignment horizontal="center" vertical="center"/>
    </xf>
    <xf borderId="17" fillId="5" fontId="21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readingOrder="0" vertical="bottom"/>
    </xf>
    <xf borderId="4" fillId="5" fontId="21" numFmtId="0" xfId="0" applyAlignment="1" applyBorder="1" applyFont="1">
      <alignment horizontal="left" readingOrder="0" vertical="bottom"/>
    </xf>
    <xf borderId="4" fillId="5" fontId="21" numFmtId="0" xfId="0" applyAlignment="1" applyBorder="1" applyFont="1">
      <alignment horizontal="center" readingOrder="0" vertical="bottom"/>
    </xf>
    <xf borderId="19" fillId="21" fontId="19" numFmtId="0" xfId="0" applyAlignment="1" applyBorder="1" applyFill="1" applyFont="1">
      <alignment vertical="center"/>
    </xf>
    <xf borderId="4" fillId="21" fontId="21" numFmtId="165" xfId="0" applyAlignment="1" applyBorder="1" applyFont="1" applyNumberFormat="1">
      <alignment horizontal="center" vertical="center"/>
    </xf>
    <xf borderId="4" fillId="21" fontId="21" numFmtId="0" xfId="0" applyAlignment="1" applyBorder="1" applyFont="1">
      <alignment horizontal="center" readingOrder="0" shrinkToFit="0" vertical="center" wrapText="1"/>
    </xf>
    <xf borderId="19" fillId="21" fontId="21" numFmtId="0" xfId="0" applyAlignment="1" applyBorder="1" applyFont="1">
      <alignment horizontal="center" readingOrder="0" shrinkToFit="0" vertical="center" wrapText="0"/>
    </xf>
    <xf borderId="4" fillId="21" fontId="21" numFmtId="0" xfId="0" applyAlignment="1" applyBorder="1" applyFont="1">
      <alignment horizontal="center" vertical="bottom"/>
    </xf>
    <xf borderId="11" fillId="5" fontId="19" numFmtId="0" xfId="0" applyAlignment="1" applyBorder="1" applyFont="1">
      <alignment vertical="center"/>
    </xf>
    <xf borderId="4" fillId="5" fontId="21" numFmtId="165" xfId="0" applyAlignment="1" applyBorder="1" applyFont="1" applyNumberFormat="1">
      <alignment horizontal="center" readingOrder="0" vertical="center"/>
    </xf>
    <xf borderId="4" fillId="5" fontId="21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vertical="bottom"/>
    </xf>
    <xf borderId="17" fillId="21" fontId="28" numFmtId="0" xfId="0" applyAlignment="1" applyBorder="1" applyFont="1">
      <alignment horizontal="center" shrinkToFit="0" vertical="center" wrapText="0"/>
    </xf>
    <xf borderId="4" fillId="21" fontId="21" numFmtId="0" xfId="0" applyAlignment="1" applyBorder="1" applyFont="1">
      <alignment horizontal="center" vertical="center"/>
    </xf>
    <xf borderId="0" fillId="21" fontId="26" numFmtId="177" xfId="0" applyAlignment="1" applyFont="1" applyNumberFormat="1">
      <alignment readingOrder="0" vertical="center"/>
    </xf>
    <xf borderId="4" fillId="21" fontId="32" numFmtId="0" xfId="0" applyAlignment="1" applyBorder="1" applyFont="1">
      <alignment horizontal="center" vertical="center"/>
    </xf>
    <xf borderId="17" fillId="21" fontId="21" numFmtId="0" xfId="0" applyAlignment="1" applyBorder="1" applyFont="1">
      <alignment horizontal="center" readingOrder="0" shrinkToFit="0" vertical="center" wrapText="1"/>
    </xf>
    <xf borderId="4" fillId="21" fontId="21" numFmtId="0" xfId="0" applyAlignment="1" applyBorder="1" applyFont="1">
      <alignment horizontal="center" readingOrder="0" vertical="bottom"/>
    </xf>
    <xf borderId="4" fillId="21" fontId="21" numFmtId="0" xfId="0" applyAlignment="1" applyBorder="1" applyFont="1">
      <alignment horizontal="left" readingOrder="0" vertical="bottom"/>
    </xf>
    <xf borderId="4" fillId="21" fontId="21" numFmtId="0" xfId="0" applyAlignment="1" applyBorder="1" applyFont="1">
      <alignment horizontal="center" readingOrder="0" vertical="bottom"/>
    </xf>
    <xf borderId="19" fillId="5" fontId="19" numFmtId="0" xfId="0" applyAlignment="1" applyBorder="1" applyFont="1">
      <alignment vertical="center"/>
    </xf>
    <xf borderId="4" fillId="5" fontId="21" numFmtId="165" xfId="0" applyAlignment="1" applyBorder="1" applyFont="1" applyNumberFormat="1">
      <alignment horizontal="center" vertical="center"/>
    </xf>
    <xf borderId="19" fillId="5" fontId="21" numFmtId="0" xfId="0" applyAlignment="1" applyBorder="1" applyFont="1">
      <alignment horizontal="center" readingOrder="0" shrinkToFit="0" vertical="center" wrapText="0"/>
    </xf>
    <xf borderId="4" fillId="5" fontId="21" numFmtId="0" xfId="0" applyAlignment="1" applyBorder="1" applyFont="1">
      <alignment horizontal="left" vertical="bottom"/>
    </xf>
    <xf borderId="11" fillId="21" fontId="19" numFmtId="0" xfId="0" applyAlignment="1" applyBorder="1" applyFont="1">
      <alignment vertical="center"/>
    </xf>
    <xf borderId="4" fillId="21" fontId="21" numFmtId="0" xfId="0" applyAlignment="1" applyBorder="1" applyFont="1">
      <alignment horizontal="left" vertical="bottom"/>
    </xf>
    <xf borderId="4" fillId="21" fontId="21" numFmtId="0" xfId="0" applyAlignment="1" applyBorder="1" applyFont="1">
      <alignment vertical="center"/>
    </xf>
    <xf borderId="11" fillId="21" fontId="21" numFmtId="0" xfId="0" applyAlignment="1" applyBorder="1" applyFont="1">
      <alignment horizontal="center" readingOrder="0" shrinkToFit="0" vertical="center" wrapText="0"/>
    </xf>
    <xf borderId="4" fillId="21" fontId="21" numFmtId="0" xfId="0" applyAlignment="1" applyBorder="1" applyFont="1">
      <alignment vertical="bottom"/>
    </xf>
    <xf borderId="4" fillId="5" fontId="21" numFmtId="0" xfId="0" applyAlignment="1" applyBorder="1" applyFont="1">
      <alignment horizontal="left" readingOrder="0" vertical="bottom"/>
    </xf>
    <xf borderId="4" fillId="21" fontId="21" numFmtId="0" xfId="0" applyAlignment="1" applyBorder="1" applyFont="1">
      <alignment horizontal="center" readingOrder="0" vertical="center"/>
    </xf>
    <xf borderId="0" fillId="5" fontId="33" numFmtId="0" xfId="0" applyAlignment="1" applyFont="1">
      <alignment horizontal="center" readingOrder="0" vertical="center"/>
    </xf>
    <xf borderId="0" fillId="5" fontId="34" numFmtId="0" xfId="0" applyAlignment="1" applyFont="1">
      <alignment readingOrder="0" vertical="center"/>
    </xf>
    <xf borderId="0" fillId="21" fontId="21" numFmtId="0" xfId="0" applyAlignment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readingOrder="0" vertical="center"/>
    </xf>
    <xf borderId="0" fillId="5" fontId="21" numFmtId="0" xfId="0" applyAlignment="1" applyFont="1">
      <alignment horizontal="center" readingOrder="0" shrinkToFit="0" vertical="center" wrapText="1"/>
    </xf>
    <xf borderId="4" fillId="5" fontId="21" numFmtId="0" xfId="0" applyAlignment="1" applyBorder="1" applyFont="1">
      <alignment vertical="bottom"/>
    </xf>
    <xf borderId="4" fillId="5" fontId="28" numFmtId="0" xfId="0" applyAlignment="1" applyBorder="1" applyFont="1">
      <alignment horizontal="center" shrinkToFit="0" vertical="center" wrapText="0"/>
    </xf>
    <xf borderId="4" fillId="5" fontId="21" numFmtId="0" xfId="0" applyAlignment="1" applyBorder="1" applyFont="1">
      <alignment horizontal="center" vertical="center"/>
    </xf>
    <xf borderId="4" fillId="5" fontId="21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left" readingOrder="0" shrinkToFit="0" vertical="center" wrapText="0"/>
    </xf>
    <xf borderId="4" fillId="5" fontId="21" numFmtId="0" xfId="0" applyAlignment="1" applyBorder="1" applyFont="1">
      <alignment horizontal="center" readingOrder="0" vertical="center"/>
    </xf>
    <xf borderId="4" fillId="5" fontId="21" numFmtId="0" xfId="0" applyAlignment="1" applyBorder="1" applyFont="1">
      <alignment horizontal="left" readingOrder="0" vertical="center"/>
    </xf>
    <xf borderId="4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17" fillId="21" fontId="21" numFmtId="0" xfId="0" applyAlignment="1" applyBorder="1" applyFont="1">
      <alignment horizontal="center" readingOrder="0" shrinkToFit="0" vertical="center" wrapText="0"/>
    </xf>
    <xf borderId="4" fillId="21" fontId="21" numFmtId="0" xfId="0" applyAlignment="1" applyBorder="1" applyFont="1">
      <alignment horizontal="left" readingOrder="0" vertical="bottom"/>
    </xf>
    <xf borderId="4" fillId="5" fontId="21" numFmtId="0" xfId="0" applyAlignment="1" applyBorder="1" applyFont="1">
      <alignment vertical="center"/>
    </xf>
    <xf borderId="11" fillId="5" fontId="21" numFmtId="0" xfId="0" applyAlignment="1" applyBorder="1" applyFont="1">
      <alignment horizontal="center" readingOrder="0" shrinkToFit="0" vertical="center" wrapText="0"/>
    </xf>
    <xf borderId="17" fillId="21" fontId="28" numFmtId="0" xfId="0" applyAlignment="1" applyBorder="1" applyFont="1">
      <alignment horizontal="center" readingOrder="0" shrinkToFit="0" vertical="center" wrapText="0"/>
    </xf>
    <xf borderId="4" fillId="21" fontId="21" numFmtId="0" xfId="0" applyAlignment="1" applyBorder="1" applyFont="1">
      <alignment horizontal="center" shrinkToFit="0" vertical="center" wrapText="1"/>
    </xf>
    <xf borderId="17" fillId="15" fontId="20" numFmtId="0" xfId="0" applyAlignment="1" applyBorder="1" applyFont="1">
      <alignment horizontal="center" readingOrder="0" shrinkToFit="0" vertical="center" wrapText="0"/>
    </xf>
    <xf borderId="4" fillId="5" fontId="21" numFmtId="0" xfId="0" applyAlignment="1" applyBorder="1" applyFont="1">
      <alignment horizontal="center" shrinkToFit="0" vertical="center" wrapText="1"/>
    </xf>
    <xf borderId="4" fillId="21" fontId="28" numFmtId="0" xfId="0" applyAlignment="1" applyBorder="1" applyFont="1">
      <alignment horizontal="center" shrinkToFit="0" vertical="center" wrapText="0"/>
    </xf>
    <xf borderId="4" fillId="21" fontId="21" numFmtId="0" xfId="0" applyAlignment="1" applyBorder="1" applyFont="1">
      <alignment horizontal="center" vertical="center"/>
    </xf>
    <xf borderId="4" fillId="20" fontId="21" numFmtId="0" xfId="0" applyAlignment="1" applyBorder="1" applyFont="1">
      <alignment horizontal="center" vertical="center"/>
    </xf>
    <xf borderId="0" fillId="22" fontId="35" numFmtId="0" xfId="0" applyAlignment="1" applyFill="1" applyFont="1">
      <alignment horizontal="center" readingOrder="0" shrinkToFit="0" vertical="center" wrapText="0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left" vertical="center"/>
    </xf>
    <xf borderId="17" fillId="15" fontId="36" numFmtId="0" xfId="0" applyAlignment="1" applyBorder="1" applyFont="1">
      <alignment horizontal="center" vertical="bottom"/>
    </xf>
    <xf borderId="20" fillId="15" fontId="36" numFmtId="0" xfId="0" applyAlignment="1" applyBorder="1" applyFont="1">
      <alignment horizontal="center" vertical="bottom"/>
    </xf>
    <xf borderId="18" fillId="15" fontId="36" numFmtId="0" xfId="0" applyAlignment="1" applyBorder="1" applyFont="1">
      <alignment horizontal="center" vertical="bottom"/>
    </xf>
    <xf borderId="21" fillId="15" fontId="36" numFmtId="0" xfId="0" applyAlignment="1" applyBorder="1" applyFont="1">
      <alignment horizontal="center" vertical="bottom"/>
    </xf>
    <xf borderId="22" fillId="15" fontId="36" numFmtId="0" xfId="0" applyAlignment="1" applyBorder="1" applyFont="1">
      <alignment horizontal="center" vertical="bottom"/>
    </xf>
    <xf borderId="19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0" fontId="22" numFmtId="3" xfId="0" applyAlignment="1" applyBorder="1" applyFont="1" applyNumberFormat="1">
      <alignment horizontal="right" vertical="bottom"/>
    </xf>
    <xf borderId="0" fillId="0" fontId="22" numFmtId="3" xfId="0" applyAlignment="1" applyFont="1" applyNumberFormat="1">
      <alignment horizontal="right" vertical="bottom"/>
    </xf>
    <xf borderId="23" fillId="0" fontId="22" numFmtId="3" xfId="0" applyAlignment="1" applyBorder="1" applyFont="1" applyNumberFormat="1">
      <alignment horizontal="center" vertical="bottom"/>
    </xf>
    <xf borderId="24" fillId="0" fontId="22" numFmtId="0" xfId="0" applyAlignment="1" applyBorder="1" applyFont="1">
      <alignment horizontal="left" vertical="bottom"/>
    </xf>
    <xf borderId="11" fillId="0" fontId="22" numFmtId="0" xfId="0" applyAlignment="1" applyBorder="1" applyFont="1">
      <alignment horizontal="center" vertical="bottom"/>
    </xf>
    <xf borderId="3" fillId="17" fontId="22" numFmtId="0" xfId="0" applyAlignment="1" applyBorder="1" applyFont="1">
      <alignment horizontal="center" vertical="bottom"/>
    </xf>
    <xf borderId="3" fillId="0" fontId="22" numFmtId="3" xfId="0" applyAlignment="1" applyBorder="1" applyFont="1" applyNumberFormat="1">
      <alignment horizontal="right" vertical="bottom"/>
    </xf>
    <xf borderId="2" fillId="0" fontId="22" numFmtId="3" xfId="0" applyAlignment="1" applyBorder="1" applyFont="1" applyNumberFormat="1">
      <alignment horizontal="right" vertical="bottom"/>
    </xf>
    <xf borderId="25" fillId="17" fontId="22" numFmtId="3" xfId="0" applyAlignment="1" applyBorder="1" applyFont="1" applyNumberFormat="1">
      <alignment horizontal="center" vertical="bottom"/>
    </xf>
    <xf borderId="12" fillId="0" fontId="22" numFmtId="0" xfId="0" applyAlignment="1" applyBorder="1" applyFont="1">
      <alignment horizontal="lef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컨택리스트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:F3" displayName="Table_1" name="Table_1" id="1">
  <tableColumns count="2">
    <tableColumn name="Column1" id="1"/>
    <tableColumn name="Column2" id="2"/>
  </tableColumns>
  <tableStyleInfo name="컨택리스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mailto:jslee@bgood.co.kr" TargetMode="External"/><Relationship Id="rId3" Type="http://schemas.openxmlformats.org/officeDocument/2006/relationships/hyperlink" Target="mailto:ylsim@bgood.co.kr" TargetMode="Externa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Relationship Id="rId7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51.43"/>
    <col customWidth="1" min="5" max="5" width="12.43"/>
    <col customWidth="1" min="6" max="7" width="11.14"/>
    <col customWidth="1" min="8" max="8" width="15.43"/>
    <col customWidth="1" min="9" max="10" width="11.14"/>
    <col customWidth="1" min="11" max="11" width="9.86"/>
    <col customWidth="1" min="12" max="13" width="14.57"/>
    <col customWidth="1" min="14" max="18" width="13.71"/>
    <col customWidth="1" min="19" max="20" width="14.0"/>
    <col customWidth="1" min="21" max="21" width="10.43"/>
    <col customWidth="1" min="22" max="22" width="15.71"/>
    <col customWidth="1" min="23" max="23" width="14.0"/>
    <col customWidth="1" min="24" max="25" width="11.86"/>
    <col customWidth="1" min="26" max="26" width="13.29"/>
    <col customWidth="1" min="27" max="27" width="14.0"/>
    <col customWidth="1" min="28" max="28" width="17.0"/>
    <col customWidth="1" min="29" max="29" width="11.71"/>
    <col customWidth="1" min="30" max="30" width="14.14"/>
    <col customWidth="1" min="31" max="31" width="16.29"/>
    <col customWidth="1" min="32" max="32" width="11.71"/>
    <col customWidth="1" min="33" max="34" width="14.0"/>
    <col customWidth="1" min="35" max="38" width="17.43"/>
    <col customWidth="1" min="39" max="39" width="23.57"/>
    <col customWidth="1" min="40" max="40" width="3.14"/>
    <col customWidth="1" min="41" max="41" width="10.29"/>
    <col customWidth="1" min="42" max="42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2"/>
      <c r="Y1" s="2"/>
      <c r="Z1" s="4"/>
      <c r="AA1" s="5"/>
      <c r="AB1" s="5"/>
      <c r="AC1" s="5"/>
      <c r="AD1" s="5"/>
      <c r="AE1" s="5"/>
      <c r="AF1" s="5"/>
      <c r="AG1" s="6"/>
      <c r="AH1" s="5"/>
      <c r="AI1" s="5"/>
      <c r="AJ1" s="4" t="s">
        <v>1</v>
      </c>
      <c r="AK1" s="4"/>
      <c r="AL1" s="4"/>
      <c r="AM1" s="7"/>
      <c r="AN1" s="8"/>
      <c r="AO1" s="8" t="s">
        <v>2</v>
      </c>
      <c r="AP1" s="9">
        <v>45672.0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1"/>
      <c r="N2" s="10" t="s">
        <v>4</v>
      </c>
      <c r="O2" s="10"/>
      <c r="P2" s="11"/>
      <c r="Q2" s="11"/>
      <c r="R2" s="11"/>
      <c r="S2" s="11"/>
      <c r="T2" s="11"/>
      <c r="U2" s="13"/>
      <c r="V2" s="13"/>
      <c r="W2" s="14" t="s">
        <v>5</v>
      </c>
      <c r="X2" s="10"/>
      <c r="Y2" s="10"/>
      <c r="Z2" s="15"/>
      <c r="AA2" s="16"/>
      <c r="AB2" s="17"/>
      <c r="AC2" s="16"/>
      <c r="AD2" s="16"/>
      <c r="AE2" s="16"/>
      <c r="AF2" s="16"/>
      <c r="AG2" s="14" t="s">
        <v>6</v>
      </c>
      <c r="AH2" s="16"/>
      <c r="AI2" s="16"/>
      <c r="AJ2" s="15"/>
      <c r="AK2" s="15"/>
      <c r="AL2" s="15"/>
      <c r="AM2" s="7"/>
      <c r="AN2" s="8"/>
      <c r="AO2" s="8"/>
      <c r="AP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20" t="s">
        <v>17</v>
      </c>
      <c r="L3" s="19" t="s">
        <v>18</v>
      </c>
      <c r="M3" s="19" t="s">
        <v>19</v>
      </c>
      <c r="N3" s="19" t="s">
        <v>20</v>
      </c>
      <c r="O3" s="19" t="s">
        <v>21</v>
      </c>
      <c r="P3" s="22" t="s">
        <v>22</v>
      </c>
      <c r="Q3" s="19" t="s">
        <v>23</v>
      </c>
      <c r="R3" s="22" t="s">
        <v>24</v>
      </c>
      <c r="S3" s="19" t="s">
        <v>25</v>
      </c>
      <c r="T3" s="19" t="s">
        <v>26</v>
      </c>
      <c r="U3" s="19" t="s">
        <v>27</v>
      </c>
      <c r="V3" s="23" t="s">
        <v>28</v>
      </c>
      <c r="W3" s="24" t="s">
        <v>20</v>
      </c>
      <c r="X3" s="25" t="s">
        <v>29</v>
      </c>
      <c r="Y3" s="26" t="s">
        <v>17</v>
      </c>
      <c r="Z3" s="27" t="s">
        <v>30</v>
      </c>
      <c r="AA3" s="24" t="s">
        <v>23</v>
      </c>
      <c r="AB3" s="24" t="s">
        <v>31</v>
      </c>
      <c r="AC3" s="24" t="s">
        <v>32</v>
      </c>
      <c r="AD3" s="24" t="s">
        <v>28</v>
      </c>
      <c r="AE3" s="24" t="s">
        <v>33</v>
      </c>
      <c r="AF3" s="24" t="s">
        <v>34</v>
      </c>
      <c r="AG3" s="19" t="s">
        <v>35</v>
      </c>
      <c r="AH3" s="19" t="s">
        <v>36</v>
      </c>
      <c r="AI3" s="19" t="s">
        <v>37</v>
      </c>
      <c r="AJ3" s="28" t="s">
        <v>38</v>
      </c>
      <c r="AK3" s="28" t="s">
        <v>39</v>
      </c>
      <c r="AL3" s="28" t="s">
        <v>40</v>
      </c>
      <c r="AM3" s="19" t="s">
        <v>41</v>
      </c>
      <c r="AN3" s="29"/>
      <c r="AO3" s="29"/>
      <c r="AP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DATEDIF(H4,$AP$1,"y")</f>
        <v>6</v>
      </c>
      <c r="J4" s="36" t="s">
        <v>48</v>
      </c>
      <c r="K4" s="37">
        <v>39.0</v>
      </c>
      <c r="L4" s="38">
        <v>44528.0</v>
      </c>
      <c r="M4" s="39">
        <v>2021.0</v>
      </c>
      <c r="N4" s="40" t="s">
        <v>49</v>
      </c>
      <c r="O4" s="41" t="s">
        <v>50</v>
      </c>
      <c r="P4" s="42">
        <v>10000.0</v>
      </c>
      <c r="Q4" s="43">
        <v>65.0</v>
      </c>
      <c r="R4" s="44">
        <f t="shared" ref="R4:R9" si="2">P4+Q4</f>
        <v>10065</v>
      </c>
      <c r="S4" s="43">
        <v>1530000.0</v>
      </c>
      <c r="T4" s="44">
        <f t="shared" ref="T4:T5" si="3">S4*Q4</f>
        <v>99450000</v>
      </c>
      <c r="U4" s="45">
        <f t="shared" ref="U4:U9" si="4">Q4/R4</f>
        <v>0.006458022851</v>
      </c>
      <c r="V4" s="46">
        <f t="shared" ref="V4:V9" si="5">R4*S4/100000000</f>
        <v>153.9945</v>
      </c>
      <c r="W4" s="47" t="s">
        <v>49</v>
      </c>
      <c r="X4" s="48">
        <v>44658.0</v>
      </c>
      <c r="Y4" s="49">
        <v>46.0</v>
      </c>
      <c r="Z4" s="50">
        <v>1530000.0</v>
      </c>
      <c r="AA4" s="51">
        <f t="shared" ref="AA4:AA8" si="6">Q4-AH4</f>
        <v>65</v>
      </c>
      <c r="AB4" s="50">
        <v>10342.0</v>
      </c>
      <c r="AC4" s="52">
        <f t="shared" ref="AC4:AC9" si="7">AA4/AB4</f>
        <v>0.006285051247</v>
      </c>
      <c r="AD4" s="53">
        <f t="shared" ref="AD4:AD9" si="8">AB4*Z4/100000000</f>
        <v>158.2326</v>
      </c>
      <c r="AE4" s="54">
        <f t="shared" ref="AE4:AE9" si="9">Z4*AA4</f>
        <v>99450000</v>
      </c>
      <c r="AF4" s="55">
        <f t="shared" ref="AF4:AF19" si="10">AE4/T4</f>
        <v>1</v>
      </c>
      <c r="AG4" s="56"/>
      <c r="AH4" s="51"/>
      <c r="AI4" s="54">
        <f t="shared" ref="AI4:AI8" si="11">AG4*AH4</f>
        <v>0</v>
      </c>
      <c r="AJ4" s="57" t="s">
        <v>51</v>
      </c>
      <c r="AK4" s="57" t="s">
        <v>51</v>
      </c>
      <c r="AL4" s="57" t="s">
        <v>51</v>
      </c>
      <c r="AM4" s="58"/>
      <c r="AN4" s="59"/>
      <c r="AO4" s="29"/>
      <c r="AP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4</v>
      </c>
      <c r="J5" s="36" t="s">
        <v>48</v>
      </c>
      <c r="K5" s="37" t="s">
        <v>54</v>
      </c>
      <c r="L5" s="38">
        <v>44498.0</v>
      </c>
      <c r="M5" s="39">
        <v>2021.0</v>
      </c>
      <c r="N5" s="60" t="s">
        <v>55</v>
      </c>
      <c r="O5" s="41" t="s">
        <v>56</v>
      </c>
      <c r="P5" s="42">
        <v>118693.0</v>
      </c>
      <c r="Q5" s="43">
        <v>5500.0</v>
      </c>
      <c r="R5" s="44">
        <f t="shared" si="2"/>
        <v>124193</v>
      </c>
      <c r="S5" s="43">
        <v>18500.0</v>
      </c>
      <c r="T5" s="44">
        <f t="shared" si="3"/>
        <v>101750000</v>
      </c>
      <c r="U5" s="45">
        <f t="shared" si="4"/>
        <v>0.04428590983</v>
      </c>
      <c r="V5" s="46">
        <f t="shared" si="5"/>
        <v>22.975705</v>
      </c>
      <c r="W5" s="61" t="s">
        <v>57</v>
      </c>
      <c r="X5" s="48">
        <v>45644.0</v>
      </c>
      <c r="Y5" s="62" t="s">
        <v>54</v>
      </c>
      <c r="Z5" s="50">
        <v>184960.0</v>
      </c>
      <c r="AA5" s="51">
        <f t="shared" si="6"/>
        <v>5500</v>
      </c>
      <c r="AB5" s="50">
        <v>204246.0</v>
      </c>
      <c r="AC5" s="52">
        <f t="shared" si="7"/>
        <v>0.02692831194</v>
      </c>
      <c r="AD5" s="53">
        <f t="shared" si="8"/>
        <v>377.7734016</v>
      </c>
      <c r="AE5" s="54">
        <f t="shared" si="9"/>
        <v>1017280000</v>
      </c>
      <c r="AF5" s="55">
        <f t="shared" si="10"/>
        <v>9.997837838</v>
      </c>
      <c r="AG5" s="56"/>
      <c r="AH5" s="51"/>
      <c r="AI5" s="54">
        <f t="shared" si="11"/>
        <v>0</v>
      </c>
      <c r="AJ5" s="57"/>
      <c r="AK5" s="57"/>
      <c r="AL5" s="57"/>
      <c r="AM5" s="58" t="s">
        <v>58</v>
      </c>
      <c r="AN5" s="29"/>
      <c r="AO5" s="29"/>
      <c r="AP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4</v>
      </c>
      <c r="J6" s="36" t="s">
        <v>48</v>
      </c>
      <c r="K6" s="37">
        <v>8.0</v>
      </c>
      <c r="L6" s="38">
        <v>44671.0</v>
      </c>
      <c r="M6" s="39">
        <v>2022.0</v>
      </c>
      <c r="N6" s="60" t="s">
        <v>49</v>
      </c>
      <c r="O6" s="41" t="s">
        <v>56</v>
      </c>
      <c r="P6" s="42">
        <v>382716.0</v>
      </c>
      <c r="Q6" s="43">
        <v>4766.0</v>
      </c>
      <c r="R6" s="44">
        <f t="shared" si="2"/>
        <v>387482</v>
      </c>
      <c r="S6" s="43">
        <f>T6/Q6</f>
        <v>62935</v>
      </c>
      <c r="T6" s="44">
        <v>2.9994821E8</v>
      </c>
      <c r="U6" s="45">
        <f t="shared" si="4"/>
        <v>0.01229992619</v>
      </c>
      <c r="V6" s="46">
        <f t="shared" si="5"/>
        <v>243.8617967</v>
      </c>
      <c r="W6" s="61" t="s">
        <v>57</v>
      </c>
      <c r="X6" s="48">
        <v>45644.0</v>
      </c>
      <c r="Y6" s="62">
        <v>28.0</v>
      </c>
      <c r="Z6" s="50">
        <v>184960.0</v>
      </c>
      <c r="AA6" s="51">
        <f t="shared" si="6"/>
        <v>4766</v>
      </c>
      <c r="AB6" s="50">
        <v>204246.0</v>
      </c>
      <c r="AC6" s="52">
        <f t="shared" si="7"/>
        <v>0.02333460631</v>
      </c>
      <c r="AD6" s="53">
        <f t="shared" si="8"/>
        <v>377.7734016</v>
      </c>
      <c r="AE6" s="54">
        <f t="shared" si="9"/>
        <v>881519360</v>
      </c>
      <c r="AF6" s="55">
        <f t="shared" si="10"/>
        <v>2.93890522</v>
      </c>
      <c r="AG6" s="56"/>
      <c r="AH6" s="51"/>
      <c r="AI6" s="54">
        <f t="shared" si="11"/>
        <v>0</v>
      </c>
      <c r="AJ6" s="57"/>
      <c r="AK6" s="57"/>
      <c r="AL6" s="57"/>
      <c r="AM6" s="58" t="s">
        <v>58</v>
      </c>
      <c r="AN6" s="29"/>
      <c r="AO6" s="29"/>
      <c r="AP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4</v>
      </c>
      <c r="J7" s="36" t="s">
        <v>48</v>
      </c>
      <c r="K7" s="63"/>
      <c r="L7" s="38">
        <v>44491.0</v>
      </c>
      <c r="M7" s="39">
        <v>2021.0</v>
      </c>
      <c r="N7" s="60" t="s">
        <v>55</v>
      </c>
      <c r="O7" s="41" t="s">
        <v>50</v>
      </c>
      <c r="P7" s="42">
        <v>54167.0</v>
      </c>
      <c r="Q7" s="43">
        <v>3009.0</v>
      </c>
      <c r="R7" s="44">
        <f t="shared" si="2"/>
        <v>57176</v>
      </c>
      <c r="S7" s="43">
        <v>33230.0</v>
      </c>
      <c r="T7" s="44">
        <f t="shared" ref="T7:T9" si="12">S7*Q7</f>
        <v>99989070</v>
      </c>
      <c r="U7" s="45">
        <f t="shared" si="4"/>
        <v>0.05262697635</v>
      </c>
      <c r="V7" s="46">
        <f t="shared" si="5"/>
        <v>18.9995848</v>
      </c>
      <c r="W7" s="61" t="s">
        <v>62</v>
      </c>
      <c r="X7" s="64">
        <v>45643.0</v>
      </c>
      <c r="Y7" s="62">
        <v>42.0</v>
      </c>
      <c r="Z7" s="50">
        <v>235000.0</v>
      </c>
      <c r="AA7" s="51">
        <f t="shared" si="6"/>
        <v>3009</v>
      </c>
      <c r="AB7" s="50">
        <v>88509.0</v>
      </c>
      <c r="AC7" s="52">
        <f t="shared" si="7"/>
        <v>0.03399654272</v>
      </c>
      <c r="AD7" s="53">
        <f t="shared" si="8"/>
        <v>207.99615</v>
      </c>
      <c r="AE7" s="54">
        <f t="shared" si="9"/>
        <v>707115000</v>
      </c>
      <c r="AF7" s="55">
        <f t="shared" si="10"/>
        <v>7.071922961</v>
      </c>
      <c r="AG7" s="56"/>
      <c r="AH7" s="51"/>
      <c r="AI7" s="54">
        <f t="shared" si="11"/>
        <v>0</v>
      </c>
      <c r="AJ7" s="57"/>
      <c r="AK7" s="57"/>
      <c r="AL7" s="57"/>
      <c r="AM7" s="58" t="s">
        <v>58</v>
      </c>
      <c r="AN7" s="29"/>
      <c r="AO7" s="29"/>
      <c r="AP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4</v>
      </c>
      <c r="J8" s="36" t="s">
        <v>48</v>
      </c>
      <c r="K8" s="37" t="s">
        <v>54</v>
      </c>
      <c r="L8" s="38">
        <v>44932.0</v>
      </c>
      <c r="M8" s="39">
        <v>2023.0</v>
      </c>
      <c r="N8" s="65" t="s">
        <v>62</v>
      </c>
      <c r="O8" s="33" t="s">
        <v>56</v>
      </c>
      <c r="P8" s="66">
        <v>137321.0</v>
      </c>
      <c r="Q8" s="43">
        <v>610.0</v>
      </c>
      <c r="R8" s="44">
        <f t="shared" si="2"/>
        <v>137931</v>
      </c>
      <c r="S8" s="43">
        <v>163849.0</v>
      </c>
      <c r="T8" s="44">
        <f t="shared" si="12"/>
        <v>99947890</v>
      </c>
      <c r="U8" s="45">
        <f t="shared" si="4"/>
        <v>0.004422501106</v>
      </c>
      <c r="V8" s="46">
        <f t="shared" si="5"/>
        <v>225.9985642</v>
      </c>
      <c r="W8" s="67" t="s">
        <v>66</v>
      </c>
      <c r="X8" s="48">
        <v>44933.0</v>
      </c>
      <c r="Y8" s="62" t="s">
        <v>54</v>
      </c>
      <c r="Z8" s="50">
        <v>190520.0</v>
      </c>
      <c r="AA8" s="51">
        <f t="shared" si="6"/>
        <v>610</v>
      </c>
      <c r="AB8" s="50">
        <v>165385.0</v>
      </c>
      <c r="AC8" s="52">
        <f t="shared" si="7"/>
        <v>0.003688363515</v>
      </c>
      <c r="AD8" s="53">
        <f t="shared" si="8"/>
        <v>315.091502</v>
      </c>
      <c r="AE8" s="54">
        <f t="shared" si="9"/>
        <v>116217200</v>
      </c>
      <c r="AF8" s="55">
        <f t="shared" si="10"/>
        <v>1.162777924</v>
      </c>
      <c r="AG8" s="56"/>
      <c r="AH8" s="51"/>
      <c r="AI8" s="54">
        <f t="shared" si="11"/>
        <v>0</v>
      </c>
      <c r="AJ8" s="57"/>
      <c r="AK8" s="57"/>
      <c r="AL8" s="57"/>
      <c r="AM8" s="58"/>
      <c r="AN8" s="29"/>
      <c r="AO8" s="29"/>
      <c r="AP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4</v>
      </c>
      <c r="J9" s="36" t="s">
        <v>48</v>
      </c>
      <c r="K9" s="37">
        <v>20.0</v>
      </c>
      <c r="L9" s="38">
        <v>45562.0</v>
      </c>
      <c r="M9" s="39">
        <v>2024.0</v>
      </c>
      <c r="N9" s="65" t="s">
        <v>57</v>
      </c>
      <c r="O9" s="33" t="s">
        <v>56</v>
      </c>
      <c r="P9" s="66">
        <v>165335.0</v>
      </c>
      <c r="Q9" s="43">
        <v>1050.0</v>
      </c>
      <c r="R9" s="44">
        <f t="shared" si="2"/>
        <v>166385</v>
      </c>
      <c r="S9" s="43">
        <v>190520.0</v>
      </c>
      <c r="T9" s="44">
        <f t="shared" si="12"/>
        <v>200046000</v>
      </c>
      <c r="U9" s="45">
        <f t="shared" si="4"/>
        <v>0.006310665024</v>
      </c>
      <c r="V9" s="46">
        <f t="shared" si="5"/>
        <v>316.996702</v>
      </c>
      <c r="W9" s="67" t="s">
        <v>66</v>
      </c>
      <c r="X9" s="48">
        <v>45563.0</v>
      </c>
      <c r="Y9" s="62">
        <v>54.0</v>
      </c>
      <c r="Z9" s="50">
        <v>190520.0</v>
      </c>
      <c r="AA9" s="51">
        <v>1050.0</v>
      </c>
      <c r="AB9" s="50">
        <v>165385.0</v>
      </c>
      <c r="AC9" s="52">
        <f t="shared" si="7"/>
        <v>0.006348822445</v>
      </c>
      <c r="AD9" s="53">
        <f t="shared" si="8"/>
        <v>315.091502</v>
      </c>
      <c r="AE9" s="54">
        <f t="shared" si="9"/>
        <v>200046000</v>
      </c>
      <c r="AF9" s="55">
        <f t="shared" si="10"/>
        <v>1</v>
      </c>
      <c r="AG9" s="68"/>
      <c r="AH9" s="51"/>
      <c r="AI9" s="54">
        <v>0.0</v>
      </c>
      <c r="AJ9" s="57"/>
      <c r="AK9" s="57"/>
      <c r="AL9" s="57"/>
      <c r="AM9" s="58"/>
      <c r="AN9" s="29"/>
      <c r="AO9" s="29"/>
      <c r="AP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4</v>
      </c>
      <c r="J10" s="36" t="s">
        <v>48</v>
      </c>
      <c r="K10" s="37" t="s">
        <v>54</v>
      </c>
      <c r="L10" s="38">
        <v>44886.0</v>
      </c>
      <c r="M10" s="39">
        <v>2022.0</v>
      </c>
      <c r="N10" s="60" t="s">
        <v>55</v>
      </c>
      <c r="O10" s="41" t="s">
        <v>71</v>
      </c>
      <c r="P10" s="69">
        <v>7356025.0</v>
      </c>
      <c r="Q10" s="43" t="s">
        <v>72</v>
      </c>
      <c r="R10" s="44">
        <f t="shared" ref="R10:R11" si="13">P10</f>
        <v>7356025</v>
      </c>
      <c r="S10" s="43">
        <v>1.0E8</v>
      </c>
      <c r="T10" s="43">
        <v>1.0E8</v>
      </c>
      <c r="U10" s="45" t="s">
        <v>72</v>
      </c>
      <c r="V10" s="70" t="s">
        <v>73</v>
      </c>
      <c r="W10" s="61" t="s">
        <v>55</v>
      </c>
      <c r="X10" s="48">
        <v>44638.0</v>
      </c>
      <c r="Y10" s="62" t="s">
        <v>54</v>
      </c>
      <c r="Z10" s="50">
        <v>1.0E8</v>
      </c>
      <c r="AA10" s="51" t="s">
        <v>72</v>
      </c>
      <c r="AB10" s="71">
        <f t="shared" ref="AB10:AB11" si="14">R10</f>
        <v>7356025</v>
      </c>
      <c r="AC10" s="52"/>
      <c r="AD10" s="72" t="s">
        <v>73</v>
      </c>
      <c r="AE10" s="50">
        <v>1.0E8</v>
      </c>
      <c r="AF10" s="55">
        <f t="shared" si="10"/>
        <v>1</v>
      </c>
      <c r="AG10" s="68"/>
      <c r="AH10" s="51"/>
      <c r="AI10" s="54"/>
      <c r="AJ10" s="57"/>
      <c r="AK10" s="57"/>
      <c r="AL10" s="57"/>
      <c r="AM10" s="58"/>
      <c r="AN10" s="29"/>
      <c r="AO10" s="29"/>
      <c r="AP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4</v>
      </c>
      <c r="J11" s="36" t="s">
        <v>48</v>
      </c>
      <c r="K11" s="37">
        <v>20.0</v>
      </c>
      <c r="L11" s="38">
        <v>44944.0</v>
      </c>
      <c r="M11" s="39">
        <v>2023.0</v>
      </c>
      <c r="N11" s="60" t="s">
        <v>55</v>
      </c>
      <c r="O11" s="41" t="s">
        <v>71</v>
      </c>
      <c r="P11" s="69">
        <v>7356025.0</v>
      </c>
      <c r="Q11" s="43" t="s">
        <v>72</v>
      </c>
      <c r="R11" s="44">
        <f t="shared" si="13"/>
        <v>7356025</v>
      </c>
      <c r="S11" s="43">
        <v>2.0E8</v>
      </c>
      <c r="T11" s="43">
        <v>2.0E8</v>
      </c>
      <c r="U11" s="45" t="s">
        <v>72</v>
      </c>
      <c r="V11" s="70" t="s">
        <v>73</v>
      </c>
      <c r="W11" s="61" t="s">
        <v>55</v>
      </c>
      <c r="X11" s="48">
        <v>44638.0</v>
      </c>
      <c r="Y11" s="62">
        <v>15.0</v>
      </c>
      <c r="Z11" s="50">
        <v>2.0E8</v>
      </c>
      <c r="AA11" s="51" t="s">
        <v>72</v>
      </c>
      <c r="AB11" s="71">
        <f t="shared" si="14"/>
        <v>7356025</v>
      </c>
      <c r="AC11" s="52"/>
      <c r="AD11" s="72" t="s">
        <v>73</v>
      </c>
      <c r="AE11" s="50">
        <v>2.0E8</v>
      </c>
      <c r="AF11" s="55">
        <f t="shared" si="10"/>
        <v>1</v>
      </c>
      <c r="AG11" s="68"/>
      <c r="AH11" s="51"/>
      <c r="AI11" s="54"/>
      <c r="AJ11" s="57"/>
      <c r="AK11" s="57"/>
      <c r="AL11" s="57"/>
      <c r="AM11" s="58"/>
      <c r="AN11" s="29"/>
      <c r="AO11" s="29"/>
      <c r="AP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7</v>
      </c>
      <c r="J12" s="36" t="s">
        <v>48</v>
      </c>
      <c r="K12" s="37" t="s">
        <v>54</v>
      </c>
      <c r="L12" s="38">
        <v>44715.0</v>
      </c>
      <c r="M12" s="39">
        <v>2022.0</v>
      </c>
      <c r="N12" s="65" t="s">
        <v>62</v>
      </c>
      <c r="O12" s="41" t="s">
        <v>56</v>
      </c>
      <c r="P12" s="66">
        <v>583089.0</v>
      </c>
      <c r="Q12" s="43">
        <v>3101.0</v>
      </c>
      <c r="R12" s="44">
        <f t="shared" ref="R12:R14" si="15">P12+Q12</f>
        <v>586190</v>
      </c>
      <c r="S12" s="43">
        <v>32243.0</v>
      </c>
      <c r="T12" s="44">
        <f t="shared" ref="T12:T14" si="16">S12*Q12</f>
        <v>99985543</v>
      </c>
      <c r="U12" s="45">
        <f t="shared" ref="U12:U14" si="17">Q12/R12</f>
        <v>0.005290093656</v>
      </c>
      <c r="V12" s="46">
        <f t="shared" ref="V12:V14" si="18">R12*S12/100000000</f>
        <v>189.0052417</v>
      </c>
      <c r="W12" s="67" t="s">
        <v>62</v>
      </c>
      <c r="X12" s="48">
        <v>45317.0</v>
      </c>
      <c r="Y12" s="62" t="s">
        <v>54</v>
      </c>
      <c r="Z12" s="50">
        <v>34155.0</v>
      </c>
      <c r="AA12" s="51">
        <f t="shared" ref="AA12:AA14" si="19">Q12-AH12</f>
        <v>3101</v>
      </c>
      <c r="AB12" s="50">
        <v>661696.0</v>
      </c>
      <c r="AC12" s="52">
        <f t="shared" ref="AC12:AC14" si="20">AA12/AB12</f>
        <v>0.004686442112</v>
      </c>
      <c r="AD12" s="53">
        <f t="shared" ref="AD12:AD14" si="21">AB12*Z12/100000000</f>
        <v>226.0022688</v>
      </c>
      <c r="AE12" s="54">
        <f t="shared" ref="AE12:AE14" si="22">Z12*AA12</f>
        <v>105914655</v>
      </c>
      <c r="AF12" s="55">
        <f t="shared" si="10"/>
        <v>1.059299693</v>
      </c>
      <c r="AG12" s="56"/>
      <c r="AH12" s="51"/>
      <c r="AI12" s="54">
        <f t="shared" ref="AI12:AI14" si="23">AG12*AH12</f>
        <v>0</v>
      </c>
      <c r="AJ12" s="57"/>
      <c r="AK12" s="57"/>
      <c r="AL12" s="57"/>
      <c r="AM12" s="58"/>
      <c r="AN12" s="29"/>
      <c r="AO12" s="29"/>
      <c r="AP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7</v>
      </c>
      <c r="J13" s="36" t="s">
        <v>48</v>
      </c>
      <c r="K13" s="37">
        <v>26.0</v>
      </c>
      <c r="L13" s="38">
        <v>44936.0</v>
      </c>
      <c r="M13" s="39">
        <v>2023.0</v>
      </c>
      <c r="N13" s="65" t="s">
        <v>62</v>
      </c>
      <c r="O13" s="33" t="s">
        <v>56</v>
      </c>
      <c r="P13" s="66">
        <v>583089.0</v>
      </c>
      <c r="Q13" s="43">
        <v>2482.0</v>
      </c>
      <c r="R13" s="44">
        <f t="shared" si="15"/>
        <v>585571</v>
      </c>
      <c r="S13" s="43">
        <v>40304.0</v>
      </c>
      <c r="T13" s="44">
        <f t="shared" si="16"/>
        <v>100034528</v>
      </c>
      <c r="U13" s="45">
        <f t="shared" si="17"/>
        <v>0.004238597881</v>
      </c>
      <c r="V13" s="46">
        <f t="shared" si="18"/>
        <v>236.0085358</v>
      </c>
      <c r="W13" s="67" t="s">
        <v>62</v>
      </c>
      <c r="X13" s="48">
        <v>45317.0</v>
      </c>
      <c r="Y13" s="62">
        <v>14.0</v>
      </c>
      <c r="Z13" s="50">
        <v>34155.0</v>
      </c>
      <c r="AA13" s="51">
        <f t="shared" si="19"/>
        <v>2482</v>
      </c>
      <c r="AB13" s="50">
        <v>661696.0</v>
      </c>
      <c r="AC13" s="52">
        <f t="shared" si="20"/>
        <v>0.003750967212</v>
      </c>
      <c r="AD13" s="53">
        <f t="shared" si="21"/>
        <v>226.0022688</v>
      </c>
      <c r="AE13" s="54">
        <f t="shared" si="22"/>
        <v>84772710</v>
      </c>
      <c r="AF13" s="55">
        <f t="shared" si="10"/>
        <v>0.8474344978</v>
      </c>
      <c r="AG13" s="56"/>
      <c r="AH13" s="51"/>
      <c r="AI13" s="54">
        <f t="shared" si="23"/>
        <v>0</v>
      </c>
      <c r="AJ13" s="57"/>
      <c r="AK13" s="57"/>
      <c r="AL13" s="57"/>
      <c r="AM13" s="58"/>
      <c r="AN13" s="29"/>
      <c r="AO13" s="29"/>
      <c r="AP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5</v>
      </c>
      <c r="J14" s="36" t="s">
        <v>48</v>
      </c>
      <c r="K14" s="73" t="s">
        <v>80</v>
      </c>
      <c r="L14" s="38">
        <v>44683.0</v>
      </c>
      <c r="M14" s="39">
        <v>2022.0</v>
      </c>
      <c r="N14" s="60" t="s">
        <v>55</v>
      </c>
      <c r="O14" s="41" t="s">
        <v>56</v>
      </c>
      <c r="P14" s="42">
        <v>100000.0</v>
      </c>
      <c r="Q14" s="43">
        <v>3705.0</v>
      </c>
      <c r="R14" s="44">
        <f t="shared" si="15"/>
        <v>103705</v>
      </c>
      <c r="S14" s="43">
        <v>27000.0</v>
      </c>
      <c r="T14" s="44">
        <f t="shared" si="16"/>
        <v>100035000</v>
      </c>
      <c r="U14" s="45">
        <f t="shared" si="17"/>
        <v>0.03572633914</v>
      </c>
      <c r="V14" s="46">
        <f t="shared" si="18"/>
        <v>28.00035</v>
      </c>
      <c r="W14" s="61" t="s">
        <v>54</v>
      </c>
      <c r="X14" s="48">
        <v>44684.0</v>
      </c>
      <c r="Y14" s="74"/>
      <c r="Z14" s="50">
        <v>27000.0</v>
      </c>
      <c r="AA14" s="51">
        <f t="shared" si="19"/>
        <v>3705</v>
      </c>
      <c r="AB14" s="50">
        <v>103705.0</v>
      </c>
      <c r="AC14" s="52">
        <f t="shared" si="20"/>
        <v>0.03572633914</v>
      </c>
      <c r="AD14" s="53">
        <f t="shared" si="21"/>
        <v>28.00035</v>
      </c>
      <c r="AE14" s="54">
        <f t="shared" si="22"/>
        <v>100035000</v>
      </c>
      <c r="AF14" s="55">
        <f t="shared" si="10"/>
        <v>1</v>
      </c>
      <c r="AG14" s="68"/>
      <c r="AH14" s="51"/>
      <c r="AI14" s="54">
        <f t="shared" si="23"/>
        <v>0</v>
      </c>
      <c r="AJ14" s="57"/>
      <c r="AK14" s="57"/>
      <c r="AL14" s="57"/>
      <c r="AM14" s="58"/>
      <c r="AN14" s="29"/>
      <c r="AO14" s="29"/>
      <c r="AP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3</v>
      </c>
      <c r="J15" s="36" t="s">
        <v>48</v>
      </c>
      <c r="K15" s="73" t="s">
        <v>83</v>
      </c>
      <c r="L15" s="38">
        <v>44694.0</v>
      </c>
      <c r="M15" s="39">
        <v>2022.0</v>
      </c>
      <c r="N15" s="60" t="s">
        <v>55</v>
      </c>
      <c r="O15" s="41" t="s">
        <v>71</v>
      </c>
      <c r="P15" s="69">
        <v>6677.0</v>
      </c>
      <c r="Q15" s="43" t="s">
        <v>72</v>
      </c>
      <c r="R15" s="44">
        <f>P15</f>
        <v>6677</v>
      </c>
      <c r="S15" s="43">
        <v>1.0E8</v>
      </c>
      <c r="T15" s="43">
        <v>1.0E8</v>
      </c>
      <c r="U15" s="45" t="s">
        <v>72</v>
      </c>
      <c r="V15" s="69" t="s">
        <v>84</v>
      </c>
      <c r="W15" s="75" t="s">
        <v>55</v>
      </c>
      <c r="X15" s="48" t="s">
        <v>54</v>
      </c>
      <c r="Y15" s="74"/>
      <c r="Z15" s="50">
        <v>1.0E8</v>
      </c>
      <c r="AA15" s="51" t="s">
        <v>72</v>
      </c>
      <c r="AB15" s="71">
        <f>R15</f>
        <v>6677</v>
      </c>
      <c r="AC15" s="52"/>
      <c r="AD15" s="76" t="s">
        <v>84</v>
      </c>
      <c r="AE15" s="50">
        <v>1.0E8</v>
      </c>
      <c r="AF15" s="55">
        <f t="shared" si="10"/>
        <v>1</v>
      </c>
      <c r="AG15" s="56"/>
      <c r="AH15" s="51"/>
      <c r="AI15" s="54"/>
      <c r="AJ15" s="57"/>
      <c r="AK15" s="57"/>
      <c r="AL15" s="57"/>
      <c r="AM15" s="58" t="s">
        <v>85</v>
      </c>
      <c r="AN15" s="29"/>
      <c r="AO15" s="29"/>
      <c r="AP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6</v>
      </c>
      <c r="J16" s="36" t="s">
        <v>48</v>
      </c>
      <c r="K16" s="37" t="s">
        <v>54</v>
      </c>
      <c r="L16" s="38">
        <v>45107.0</v>
      </c>
      <c r="M16" s="39">
        <v>2023.0</v>
      </c>
      <c r="N16" s="65" t="s">
        <v>57</v>
      </c>
      <c r="O16" s="41" t="s">
        <v>56</v>
      </c>
      <c r="P16" s="42">
        <v>27683.0</v>
      </c>
      <c r="Q16" s="43">
        <v>416.0</v>
      </c>
      <c r="R16" s="44">
        <f t="shared" ref="R16:R19" si="24">P16+Q16</f>
        <v>28099</v>
      </c>
      <c r="S16" s="43">
        <v>722470.0</v>
      </c>
      <c r="T16" s="44">
        <f t="shared" ref="T16:T19" si="25">S16*Q16</f>
        <v>300547520</v>
      </c>
      <c r="U16" s="45">
        <f t="shared" ref="U16:U19" si="26">Q16/R16</f>
        <v>0.01480479732</v>
      </c>
      <c r="V16" s="46">
        <f t="shared" ref="V16:V19" si="27">R16*S16/100000000</f>
        <v>203.0068453</v>
      </c>
      <c r="W16" s="67" t="s">
        <v>57</v>
      </c>
      <c r="X16" s="48">
        <v>45596.0</v>
      </c>
      <c r="Y16" s="62" t="s">
        <v>54</v>
      </c>
      <c r="Z16" s="50">
        <v>327150.0</v>
      </c>
      <c r="AA16" s="51">
        <f t="shared" ref="AA16:AA19" si="28">Q16-AH16</f>
        <v>416</v>
      </c>
      <c r="AB16" s="50">
        <v>30568.0</v>
      </c>
      <c r="AC16" s="52">
        <f t="shared" ref="AC16:AC19" si="29">AA16/AB16</f>
        <v>0.01360900288</v>
      </c>
      <c r="AD16" s="53">
        <f t="shared" ref="AD16:AD19" si="30">AB16*Z16/100000000</f>
        <v>100.003212</v>
      </c>
      <c r="AE16" s="54">
        <f t="shared" ref="AE16:AE19" si="31">Z16*AA16</f>
        <v>136094400</v>
      </c>
      <c r="AF16" s="55">
        <f t="shared" si="10"/>
        <v>0.4528215704</v>
      </c>
      <c r="AG16" s="56"/>
      <c r="AH16" s="51"/>
      <c r="AI16" s="54">
        <f>AG16*AH16</f>
        <v>0</v>
      </c>
      <c r="AJ16" s="57" t="s">
        <v>88</v>
      </c>
      <c r="AK16" s="57" t="s">
        <v>89</v>
      </c>
      <c r="AL16" s="57" t="s">
        <v>90</v>
      </c>
      <c r="AM16" s="58" t="s">
        <v>91</v>
      </c>
      <c r="AN16" s="29"/>
      <c r="AO16" s="29"/>
      <c r="AP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6</v>
      </c>
      <c r="J17" s="36" t="s">
        <v>48</v>
      </c>
      <c r="K17" s="37">
        <v>20.0</v>
      </c>
      <c r="L17" s="38">
        <v>45254.0</v>
      </c>
      <c r="M17" s="39">
        <v>2023.0</v>
      </c>
      <c r="N17" s="65" t="s">
        <v>57</v>
      </c>
      <c r="O17" s="41" t="s">
        <v>56</v>
      </c>
      <c r="P17" s="42">
        <v>28099.0</v>
      </c>
      <c r="Q17" s="43">
        <v>139.0</v>
      </c>
      <c r="R17" s="44">
        <f t="shared" si="24"/>
        <v>28238</v>
      </c>
      <c r="S17" s="43">
        <v>722470.0</v>
      </c>
      <c r="T17" s="44">
        <f t="shared" si="25"/>
        <v>100423330</v>
      </c>
      <c r="U17" s="45">
        <f t="shared" si="26"/>
        <v>0.004922444932</v>
      </c>
      <c r="V17" s="46">
        <f t="shared" si="27"/>
        <v>204.0110786</v>
      </c>
      <c r="W17" s="67" t="s">
        <v>57</v>
      </c>
      <c r="X17" s="48">
        <v>45596.0</v>
      </c>
      <c r="Y17" s="62">
        <v>15.0</v>
      </c>
      <c r="Z17" s="50">
        <v>327150.0</v>
      </c>
      <c r="AA17" s="51">
        <f t="shared" si="28"/>
        <v>139</v>
      </c>
      <c r="AB17" s="50">
        <v>30568.0</v>
      </c>
      <c r="AC17" s="52">
        <f t="shared" si="29"/>
        <v>0.004547238943</v>
      </c>
      <c r="AD17" s="53">
        <f t="shared" si="30"/>
        <v>100.003212</v>
      </c>
      <c r="AE17" s="54">
        <f t="shared" si="31"/>
        <v>45473850</v>
      </c>
      <c r="AF17" s="55">
        <f t="shared" si="10"/>
        <v>0.4528215704</v>
      </c>
      <c r="AG17" s="56"/>
      <c r="AH17" s="51"/>
      <c r="AI17" s="54">
        <v>0.0</v>
      </c>
      <c r="AJ17" s="57"/>
      <c r="AK17" s="57"/>
      <c r="AL17" s="57"/>
      <c r="AM17" s="58" t="s">
        <v>91</v>
      </c>
      <c r="AN17" s="29"/>
      <c r="AO17" s="29"/>
      <c r="AP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4</v>
      </c>
      <c r="J18" s="36" t="s">
        <v>48</v>
      </c>
      <c r="K18" s="37" t="s">
        <v>54</v>
      </c>
      <c r="L18" s="38">
        <v>45127.0</v>
      </c>
      <c r="M18" s="39">
        <v>2023.0</v>
      </c>
      <c r="N18" s="60" t="s">
        <v>62</v>
      </c>
      <c r="O18" s="41" t="s">
        <v>56</v>
      </c>
      <c r="P18" s="42">
        <v>373763.0</v>
      </c>
      <c r="Q18" s="43">
        <v>4477.0</v>
      </c>
      <c r="R18" s="44">
        <f t="shared" si="24"/>
        <v>378240</v>
      </c>
      <c r="S18" s="43">
        <v>44680.0</v>
      </c>
      <c r="T18" s="44">
        <f t="shared" si="25"/>
        <v>200032360</v>
      </c>
      <c r="U18" s="45">
        <f t="shared" si="26"/>
        <v>0.01183640017</v>
      </c>
      <c r="V18" s="46">
        <f t="shared" si="27"/>
        <v>168.997632</v>
      </c>
      <c r="W18" s="61" t="s">
        <v>62</v>
      </c>
      <c r="X18" s="48">
        <v>45288.0</v>
      </c>
      <c r="Y18" s="62" t="s">
        <v>54</v>
      </c>
      <c r="Z18" s="77">
        <v>44680.0</v>
      </c>
      <c r="AA18" s="51">
        <f t="shared" si="28"/>
        <v>4477</v>
      </c>
      <c r="AB18" s="50">
        <v>404145.0</v>
      </c>
      <c r="AC18" s="52">
        <f t="shared" si="29"/>
        <v>0.01107770726</v>
      </c>
      <c r="AD18" s="53">
        <f t="shared" si="30"/>
        <v>180.571986</v>
      </c>
      <c r="AE18" s="54">
        <f t="shared" si="31"/>
        <v>200032360</v>
      </c>
      <c r="AF18" s="55">
        <f t="shared" si="10"/>
        <v>1</v>
      </c>
      <c r="AG18" s="56"/>
      <c r="AH18" s="51"/>
      <c r="AI18" s="54">
        <f>AG18*AH18</f>
        <v>0</v>
      </c>
      <c r="AJ18" s="57" t="s">
        <v>95</v>
      </c>
      <c r="AK18" s="57" t="s">
        <v>96</v>
      </c>
      <c r="AL18" s="57" t="s">
        <v>97</v>
      </c>
      <c r="AM18" s="58"/>
      <c r="AN18" s="29"/>
      <c r="AO18" s="29"/>
      <c r="AP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4</v>
      </c>
      <c r="J19" s="36" t="s">
        <v>48</v>
      </c>
      <c r="K19" s="37">
        <v>12.0</v>
      </c>
      <c r="L19" s="38">
        <v>45265.0</v>
      </c>
      <c r="M19" s="39">
        <v>2023.0</v>
      </c>
      <c r="N19" s="60" t="s">
        <v>62</v>
      </c>
      <c r="O19" s="41" t="s">
        <v>56</v>
      </c>
      <c r="P19" s="42">
        <v>382716.0</v>
      </c>
      <c r="Q19" s="43">
        <v>2239.0</v>
      </c>
      <c r="R19" s="44">
        <f t="shared" si="24"/>
        <v>384955</v>
      </c>
      <c r="S19" s="43">
        <v>44680.0</v>
      </c>
      <c r="T19" s="44">
        <f t="shared" si="25"/>
        <v>100038520</v>
      </c>
      <c r="U19" s="45">
        <f t="shared" si="26"/>
        <v>0.005816264239</v>
      </c>
      <c r="V19" s="46">
        <f t="shared" si="27"/>
        <v>171.997894</v>
      </c>
      <c r="W19" s="61" t="s">
        <v>62</v>
      </c>
      <c r="X19" s="48">
        <v>45288.0</v>
      </c>
      <c r="Y19" s="62">
        <v>13.0</v>
      </c>
      <c r="Z19" s="77">
        <v>44680.0</v>
      </c>
      <c r="AA19" s="51">
        <f t="shared" si="28"/>
        <v>2239</v>
      </c>
      <c r="AB19" s="50">
        <v>404145.0</v>
      </c>
      <c r="AC19" s="52">
        <f t="shared" si="29"/>
        <v>0.005540090809</v>
      </c>
      <c r="AD19" s="53">
        <f t="shared" si="30"/>
        <v>180.571986</v>
      </c>
      <c r="AE19" s="54">
        <f t="shared" si="31"/>
        <v>100038520</v>
      </c>
      <c r="AF19" s="55">
        <f t="shared" si="10"/>
        <v>1</v>
      </c>
      <c r="AG19" s="68"/>
      <c r="AH19" s="51"/>
      <c r="AI19" s="54">
        <v>0.0</v>
      </c>
      <c r="AJ19" s="57" t="s">
        <v>95</v>
      </c>
      <c r="AK19" s="57" t="s">
        <v>96</v>
      </c>
      <c r="AL19" s="57" t="s">
        <v>99</v>
      </c>
      <c r="AM19" s="58"/>
      <c r="AN19" s="29"/>
      <c r="AO19" s="29"/>
      <c r="AP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0"/>
      <c r="M20" s="81"/>
      <c r="N20" s="81"/>
      <c r="O20" s="82"/>
      <c r="P20" s="82"/>
      <c r="Q20" s="83"/>
      <c r="R20" s="83"/>
      <c r="S20" s="83"/>
      <c r="T20" s="83"/>
      <c r="U20" s="83"/>
      <c r="V20" s="83"/>
      <c r="W20" s="81"/>
      <c r="X20" s="81"/>
      <c r="Y20" s="81"/>
      <c r="Z20" s="83"/>
      <c r="AA20" s="83"/>
      <c r="AB20" s="83"/>
      <c r="AC20" s="83"/>
      <c r="AD20" s="84"/>
      <c r="AE20" s="85"/>
      <c r="AF20" s="85"/>
      <c r="AG20" s="86"/>
      <c r="AH20" s="83"/>
      <c r="AI20" s="85"/>
      <c r="AJ20" s="85"/>
      <c r="AK20" s="85"/>
      <c r="AL20" s="85"/>
      <c r="AM20" s="87"/>
      <c r="AN20" s="8"/>
      <c r="AO20" s="8"/>
      <c r="AP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1"/>
      <c r="S21" s="91"/>
      <c r="T21" s="91">
        <f>SUM(T4:T20)</f>
        <v>2302227971</v>
      </c>
      <c r="U21" s="91"/>
      <c r="V21" s="91"/>
      <c r="W21" s="91"/>
      <c r="X21" s="91"/>
      <c r="Y21" s="91"/>
      <c r="Z21" s="92"/>
      <c r="AA21" s="91"/>
      <c r="AB21" s="91"/>
      <c r="AC21" s="91"/>
      <c r="AD21" s="91"/>
      <c r="AE21" s="91">
        <f>SUM(AE4:AE19)</f>
        <v>4193989055</v>
      </c>
      <c r="AF21" s="93">
        <f>AE21/T21</f>
        <v>1.821708844</v>
      </c>
      <c r="AG21" s="91"/>
      <c r="AH21" s="94"/>
      <c r="AI21" s="91"/>
      <c r="AJ21" s="91"/>
      <c r="AK21" s="91"/>
      <c r="AL21" s="91"/>
      <c r="AM21" s="95"/>
      <c r="AN21" s="96"/>
      <c r="AO21" s="96"/>
      <c r="AP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8"/>
      <c r="R22" s="98"/>
      <c r="S22" s="98"/>
      <c r="T22" s="98"/>
      <c r="U22" s="98"/>
      <c r="V22" s="98"/>
      <c r="W22" s="98"/>
      <c r="X22" s="98"/>
      <c r="Y22" s="98"/>
      <c r="Z22" s="99"/>
      <c r="AA22" s="98"/>
      <c r="AB22" s="98"/>
      <c r="AC22" s="98"/>
      <c r="AD22" s="98"/>
      <c r="AE22" s="100"/>
      <c r="AF22" s="100"/>
      <c r="AG22" s="98"/>
      <c r="AH22" s="101"/>
      <c r="AI22" s="98"/>
      <c r="AJ22" s="98"/>
      <c r="AK22" s="98"/>
      <c r="AL22" s="98"/>
      <c r="AM22" s="102"/>
      <c r="AN22" s="29"/>
      <c r="AO22" s="29"/>
      <c r="AP22" s="29"/>
    </row>
    <row r="23" ht="16.5" customHeight="1">
      <c r="A23" s="8"/>
      <c r="B23" s="79" t="s">
        <v>101</v>
      </c>
      <c r="C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103"/>
      <c r="AN23" s="29"/>
      <c r="AO23" s="29"/>
      <c r="AP23" s="29"/>
    </row>
    <row r="24" ht="16.5" customHeight="1">
      <c r="A24" s="8"/>
      <c r="B24" s="104" t="s">
        <v>102</v>
      </c>
      <c r="C24" s="104"/>
      <c r="D24" s="97"/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7"/>
      <c r="AN24" s="29"/>
      <c r="AO24" s="29"/>
      <c r="AP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7"/>
      <c r="AN25" s="29"/>
      <c r="AO25" s="29"/>
      <c r="AP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7"/>
      <c r="AN26" s="29"/>
      <c r="AO26" s="29"/>
      <c r="AP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7"/>
      <c r="AN27" s="29"/>
      <c r="AO27" s="29"/>
      <c r="AP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7"/>
      <c r="AN28" s="29"/>
      <c r="AO28" s="29"/>
      <c r="AP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7"/>
      <c r="AN29" s="29"/>
      <c r="AO29" s="29"/>
      <c r="AP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8"/>
      <c r="R30" s="8"/>
      <c r="S30" s="8"/>
      <c r="T30" s="8"/>
      <c r="U30" s="8"/>
      <c r="V30" s="8"/>
      <c r="W30" s="8"/>
      <c r="X30" s="8"/>
      <c r="Y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7"/>
      <c r="AN30" s="29"/>
      <c r="AO30" s="29"/>
      <c r="AP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7"/>
      <c r="AN31" s="29"/>
      <c r="AO31" s="29"/>
      <c r="AP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7"/>
      <c r="AN32" s="29"/>
      <c r="AO32" s="29"/>
      <c r="AP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7"/>
      <c r="AN33" s="29"/>
      <c r="AO33" s="29"/>
      <c r="AP33" s="29"/>
    </row>
    <row r="34" ht="16.5" customHeight="1">
      <c r="A34" s="8"/>
      <c r="B34" s="110">
        <v>45657.0</v>
      </c>
      <c r="C34" s="111"/>
      <c r="D34" s="111">
        <f>AE21</f>
        <v>4193989055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7"/>
      <c r="AN34" s="29"/>
      <c r="AO34" s="29"/>
      <c r="AP34" s="29"/>
    </row>
    <row r="35" ht="16.5" customHeight="1">
      <c r="A35" s="8"/>
      <c r="B35" s="113" t="s">
        <v>106</v>
      </c>
      <c r="C35" s="114"/>
      <c r="D35" s="114">
        <f>XIRR(D25:D34,B25:B34)</f>
        <v>0.2284593961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7"/>
      <c r="AN35" s="29"/>
      <c r="AO35" s="29"/>
      <c r="AP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7"/>
      <c r="AN36" s="29"/>
      <c r="AO36" s="29"/>
      <c r="AP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7"/>
      <c r="AN37" s="29"/>
      <c r="AO37" s="29"/>
      <c r="AP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7"/>
      <c r="AN38" s="29"/>
      <c r="AO38" s="29"/>
      <c r="AP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7"/>
      <c r="AN39" s="29"/>
      <c r="AO39" s="29"/>
      <c r="AP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7"/>
      <c r="AN40" s="29"/>
      <c r="AO40" s="29"/>
      <c r="AP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7"/>
      <c r="AN41" s="29"/>
      <c r="AO41" s="29"/>
      <c r="AP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7"/>
      <c r="AN42" s="29"/>
      <c r="AO42" s="29"/>
      <c r="AP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7"/>
      <c r="AN43" s="29"/>
      <c r="AO43" s="29"/>
      <c r="AP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7"/>
      <c r="AN44" s="29"/>
      <c r="AO44" s="29"/>
      <c r="AP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7"/>
      <c r="AN45" s="29"/>
      <c r="AO45" s="29"/>
      <c r="AP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7"/>
      <c r="AN46" s="29"/>
      <c r="AO46" s="29"/>
      <c r="AP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7"/>
      <c r="AN47" s="29"/>
      <c r="AO47" s="29"/>
      <c r="AP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7"/>
      <c r="AN48" s="29"/>
      <c r="AO48" s="29"/>
      <c r="AP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7"/>
      <c r="AN49" s="29"/>
      <c r="AO49" s="29"/>
      <c r="AP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7"/>
      <c r="AN50" s="29"/>
      <c r="AO50" s="29"/>
      <c r="AP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7"/>
      <c r="AN51" s="29"/>
      <c r="AO51" s="29"/>
      <c r="AP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7"/>
      <c r="AN52" s="29"/>
      <c r="AO52" s="29"/>
      <c r="AP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7"/>
      <c r="AN53" s="29"/>
      <c r="AO53" s="29"/>
      <c r="AP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7"/>
      <c r="AN54" s="29"/>
      <c r="AO54" s="29"/>
      <c r="AP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7"/>
      <c r="AN55" s="29"/>
      <c r="AO55" s="29"/>
      <c r="AP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7"/>
      <c r="AN56" s="29"/>
      <c r="AO56" s="29"/>
      <c r="AP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7"/>
      <c r="AN57" s="29"/>
      <c r="AO57" s="29"/>
      <c r="AP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7"/>
      <c r="AN58" s="29"/>
      <c r="AO58" s="29"/>
      <c r="AP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7"/>
      <c r="AN59" s="29"/>
      <c r="AO59" s="29"/>
      <c r="AP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7"/>
      <c r="AN60" s="29"/>
      <c r="AO60" s="29"/>
      <c r="AP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7"/>
      <c r="AN61" s="29"/>
      <c r="AO61" s="29"/>
      <c r="AP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7"/>
      <c r="AN62" s="29"/>
      <c r="AO62" s="29"/>
      <c r="AP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7"/>
      <c r="AN63" s="29"/>
      <c r="AO63" s="29"/>
      <c r="AP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7"/>
      <c r="AN64" s="29"/>
      <c r="AO64" s="29"/>
      <c r="AP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7"/>
      <c r="AN65" s="29"/>
      <c r="AO65" s="29"/>
      <c r="AP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7"/>
      <c r="AN66" s="29"/>
      <c r="AO66" s="29"/>
      <c r="AP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7"/>
      <c r="AN67" s="29"/>
      <c r="AO67" s="29"/>
      <c r="AP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7"/>
      <c r="AN68" s="29"/>
      <c r="AO68" s="29"/>
      <c r="AP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7"/>
      <c r="AN69" s="29"/>
      <c r="AO69" s="29"/>
      <c r="AP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7"/>
      <c r="AN70" s="29"/>
      <c r="AO70" s="29"/>
      <c r="AP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7"/>
      <c r="AN71" s="29"/>
      <c r="AO71" s="29"/>
      <c r="AP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7"/>
      <c r="AN72" s="29"/>
      <c r="AO72" s="29"/>
      <c r="AP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7"/>
      <c r="AN73" s="29"/>
      <c r="AO73" s="29"/>
      <c r="AP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7"/>
      <c r="AN74" s="29"/>
      <c r="AO74" s="29"/>
      <c r="AP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7"/>
      <c r="AN75" s="29"/>
      <c r="AO75" s="29"/>
      <c r="AP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7"/>
      <c r="AN76" s="29"/>
      <c r="AO76" s="29"/>
      <c r="AP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7"/>
      <c r="AN77" s="29"/>
      <c r="AO77" s="29"/>
      <c r="AP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7"/>
      <c r="AN78" s="29"/>
      <c r="AO78" s="29"/>
      <c r="AP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7"/>
      <c r="AN79" s="29"/>
      <c r="AO79" s="29"/>
      <c r="AP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7"/>
      <c r="AN80" s="29"/>
      <c r="AO80" s="29"/>
      <c r="AP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7"/>
      <c r="AN81" s="29"/>
      <c r="AO81" s="29"/>
      <c r="AP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7"/>
      <c r="AN82" s="29"/>
      <c r="AO82" s="29"/>
      <c r="AP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7"/>
      <c r="AN83" s="29"/>
      <c r="AO83" s="29"/>
      <c r="AP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7"/>
      <c r="AN84" s="29"/>
      <c r="AO84" s="29"/>
      <c r="AP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7"/>
      <c r="AN85" s="29"/>
      <c r="AO85" s="29"/>
      <c r="AP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7"/>
      <c r="AN86" s="29"/>
      <c r="AO86" s="29"/>
      <c r="AP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7"/>
      <c r="AN87" s="29"/>
      <c r="AO87" s="29"/>
      <c r="AP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7"/>
      <c r="AN88" s="29"/>
      <c r="AO88" s="29"/>
      <c r="AP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7"/>
      <c r="AN89" s="29"/>
      <c r="AO89" s="29"/>
      <c r="AP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7"/>
      <c r="AN90" s="29"/>
      <c r="AO90" s="29"/>
      <c r="AP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7"/>
      <c r="AN91" s="29"/>
      <c r="AO91" s="29"/>
      <c r="AP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7"/>
      <c r="AN92" s="29"/>
      <c r="AO92" s="29"/>
      <c r="AP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7"/>
      <c r="AN93" s="29"/>
      <c r="AO93" s="29"/>
      <c r="AP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7"/>
      <c r="AN94" s="29"/>
      <c r="AO94" s="29"/>
      <c r="AP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7"/>
      <c r="AN95" s="29"/>
      <c r="AO95" s="29"/>
      <c r="AP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7"/>
      <c r="AN96" s="29"/>
      <c r="AO96" s="29"/>
      <c r="AP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7"/>
      <c r="AN97" s="29"/>
      <c r="AO97" s="29"/>
      <c r="AP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7"/>
      <c r="AN98" s="29"/>
      <c r="AO98" s="29"/>
      <c r="AP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7"/>
      <c r="AN99" s="29"/>
      <c r="AO99" s="29"/>
      <c r="AP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7"/>
      <c r="AN100" s="29"/>
      <c r="AO100" s="29"/>
      <c r="AP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7"/>
      <c r="AN101" s="29"/>
      <c r="AO101" s="29"/>
      <c r="AP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7"/>
      <c r="AN102" s="29"/>
      <c r="AO102" s="29"/>
      <c r="AP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7"/>
      <c r="AN103" s="29"/>
      <c r="AO103" s="29"/>
      <c r="AP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7"/>
      <c r="AN104" s="29"/>
      <c r="AO104" s="29"/>
      <c r="AP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7"/>
      <c r="AN105" s="29"/>
      <c r="AO105" s="29"/>
      <c r="AP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7"/>
      <c r="AN106" s="29"/>
      <c r="AO106" s="29"/>
      <c r="AP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7"/>
      <c r="AN107" s="29"/>
      <c r="AO107" s="29"/>
      <c r="AP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7"/>
      <c r="AN108" s="29"/>
      <c r="AO108" s="29"/>
      <c r="AP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7"/>
      <c r="AN109" s="29"/>
      <c r="AO109" s="29"/>
      <c r="AP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7"/>
      <c r="AN110" s="29"/>
      <c r="AO110" s="29"/>
      <c r="AP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7"/>
      <c r="AN111" s="29"/>
      <c r="AO111" s="29"/>
      <c r="AP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7"/>
      <c r="AN112" s="29"/>
      <c r="AO112" s="29"/>
      <c r="AP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7"/>
      <c r="AN113" s="29"/>
      <c r="AO113" s="29"/>
      <c r="AP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7"/>
      <c r="AN114" s="29"/>
      <c r="AO114" s="29"/>
      <c r="AP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7"/>
      <c r="AN115" s="29"/>
      <c r="AO115" s="29"/>
      <c r="AP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7"/>
      <c r="AN116" s="29"/>
      <c r="AO116" s="29"/>
      <c r="AP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7"/>
      <c r="AN117" s="29"/>
      <c r="AO117" s="29"/>
      <c r="AP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7"/>
      <c r="AN118" s="29"/>
      <c r="AO118" s="29"/>
      <c r="AP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7"/>
      <c r="AN119" s="29"/>
      <c r="AO119" s="29"/>
      <c r="AP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7"/>
      <c r="AN120" s="29"/>
      <c r="AO120" s="29"/>
      <c r="AP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7"/>
      <c r="AN121" s="29"/>
      <c r="AO121" s="29"/>
      <c r="AP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7"/>
      <c r="AN122" s="29"/>
      <c r="AO122" s="29"/>
      <c r="AP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7"/>
      <c r="AN123" s="29"/>
      <c r="AO123" s="29"/>
      <c r="AP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7"/>
      <c r="AN124" s="29"/>
      <c r="AO124" s="29"/>
      <c r="AP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7"/>
      <c r="AN125" s="29"/>
      <c r="AO125" s="29"/>
      <c r="AP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7"/>
      <c r="AN126" s="29"/>
      <c r="AO126" s="29"/>
      <c r="AP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7"/>
      <c r="AN127" s="29"/>
      <c r="AO127" s="29"/>
      <c r="AP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7"/>
      <c r="AN128" s="29"/>
      <c r="AO128" s="29"/>
      <c r="AP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7"/>
      <c r="AN129" s="29"/>
      <c r="AO129" s="29"/>
      <c r="AP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7"/>
      <c r="AN130" s="29"/>
      <c r="AO130" s="29"/>
      <c r="AP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7"/>
      <c r="AN131" s="29"/>
      <c r="AO131" s="29"/>
      <c r="AP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7"/>
      <c r="AN132" s="29"/>
      <c r="AO132" s="29"/>
      <c r="AP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7"/>
      <c r="AN133" s="29"/>
      <c r="AO133" s="29"/>
      <c r="AP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7"/>
      <c r="AN134" s="29"/>
      <c r="AO134" s="29"/>
      <c r="AP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7"/>
      <c r="AN135" s="29"/>
      <c r="AO135" s="29"/>
      <c r="AP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7"/>
      <c r="AN136" s="29"/>
      <c r="AO136" s="29"/>
      <c r="AP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7"/>
      <c r="AN137" s="29"/>
      <c r="AO137" s="29"/>
      <c r="AP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7"/>
      <c r="AN138" s="29"/>
      <c r="AO138" s="29"/>
      <c r="AP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7"/>
      <c r="AN139" s="29"/>
      <c r="AO139" s="29"/>
      <c r="AP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7"/>
      <c r="AN140" s="29"/>
      <c r="AO140" s="29"/>
      <c r="AP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7"/>
      <c r="AN141" s="29"/>
      <c r="AO141" s="29"/>
      <c r="AP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7"/>
      <c r="AN142" s="29"/>
      <c r="AO142" s="29"/>
      <c r="AP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7"/>
      <c r="AN143" s="29"/>
      <c r="AO143" s="29"/>
      <c r="AP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7"/>
      <c r="AN144" s="29"/>
      <c r="AO144" s="29"/>
      <c r="AP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7"/>
      <c r="AN145" s="29"/>
      <c r="AO145" s="29"/>
      <c r="AP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7"/>
      <c r="AN146" s="29"/>
      <c r="AO146" s="29"/>
      <c r="AP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7"/>
      <c r="AN147" s="29"/>
      <c r="AO147" s="29"/>
      <c r="AP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7"/>
      <c r="AN148" s="29"/>
      <c r="AO148" s="29"/>
      <c r="AP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7"/>
      <c r="AN149" s="29"/>
      <c r="AO149" s="29"/>
      <c r="AP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7"/>
      <c r="AN150" s="29"/>
      <c r="AO150" s="29"/>
      <c r="AP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7"/>
      <c r="AN151" s="29"/>
      <c r="AO151" s="29"/>
      <c r="AP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7"/>
      <c r="AN152" s="29"/>
      <c r="AO152" s="29"/>
      <c r="AP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7"/>
      <c r="AN153" s="29"/>
      <c r="AO153" s="29"/>
      <c r="AP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7"/>
      <c r="AN154" s="29"/>
      <c r="AO154" s="29"/>
      <c r="AP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7"/>
      <c r="AN155" s="29"/>
      <c r="AO155" s="29"/>
      <c r="AP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7"/>
      <c r="AN156" s="29"/>
      <c r="AO156" s="29"/>
      <c r="AP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7"/>
      <c r="AN157" s="29"/>
      <c r="AO157" s="29"/>
      <c r="AP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7"/>
      <c r="AN158" s="29"/>
      <c r="AO158" s="29"/>
      <c r="AP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7"/>
      <c r="AN159" s="29"/>
      <c r="AO159" s="29"/>
      <c r="AP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7"/>
      <c r="AN160" s="29"/>
      <c r="AO160" s="29"/>
      <c r="AP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7"/>
      <c r="AN161" s="29"/>
      <c r="AO161" s="29"/>
      <c r="AP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7"/>
      <c r="AN162" s="29"/>
      <c r="AO162" s="29"/>
      <c r="AP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7"/>
      <c r="AN163" s="29"/>
      <c r="AO163" s="29"/>
      <c r="AP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7"/>
      <c r="AN164" s="29"/>
      <c r="AO164" s="29"/>
      <c r="AP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7"/>
      <c r="AN165" s="29"/>
      <c r="AO165" s="29"/>
      <c r="AP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7"/>
      <c r="AN166" s="29"/>
      <c r="AO166" s="29"/>
      <c r="AP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7"/>
      <c r="AN167" s="29"/>
      <c r="AO167" s="29"/>
      <c r="AP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7"/>
      <c r="AN168" s="29"/>
      <c r="AO168" s="29"/>
      <c r="AP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7"/>
      <c r="AN169" s="29"/>
      <c r="AO169" s="29"/>
      <c r="AP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7"/>
      <c r="AN170" s="29"/>
      <c r="AO170" s="29"/>
      <c r="AP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7"/>
      <c r="AN171" s="29"/>
      <c r="AO171" s="29"/>
      <c r="AP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7"/>
      <c r="AN172" s="29"/>
      <c r="AO172" s="29"/>
      <c r="AP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7"/>
      <c r="AN173" s="29"/>
      <c r="AO173" s="29"/>
      <c r="AP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7"/>
      <c r="AN174" s="29"/>
      <c r="AO174" s="29"/>
      <c r="AP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7"/>
      <c r="AN175" s="29"/>
      <c r="AO175" s="29"/>
      <c r="AP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7"/>
      <c r="AN176" s="29"/>
      <c r="AO176" s="29"/>
      <c r="AP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7"/>
      <c r="AN177" s="29"/>
      <c r="AO177" s="29"/>
      <c r="AP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7"/>
      <c r="AN178" s="29"/>
      <c r="AO178" s="29"/>
      <c r="AP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7"/>
      <c r="AN179" s="29"/>
      <c r="AO179" s="29"/>
      <c r="AP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7"/>
      <c r="AN180" s="29"/>
      <c r="AO180" s="29"/>
      <c r="AP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7"/>
      <c r="AN181" s="29"/>
      <c r="AO181" s="29"/>
      <c r="AP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7"/>
      <c r="AN182" s="29"/>
      <c r="AO182" s="29"/>
      <c r="AP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7"/>
      <c r="AN183" s="29"/>
      <c r="AO183" s="29"/>
      <c r="AP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7"/>
      <c r="AN184" s="29"/>
      <c r="AO184" s="29"/>
      <c r="AP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7"/>
      <c r="AN185" s="29"/>
      <c r="AO185" s="29"/>
      <c r="AP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7"/>
      <c r="AN186" s="29"/>
      <c r="AO186" s="29"/>
      <c r="AP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7"/>
      <c r="AN187" s="29"/>
      <c r="AO187" s="29"/>
      <c r="AP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7"/>
      <c r="AN188" s="29"/>
      <c r="AO188" s="29"/>
      <c r="AP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7"/>
      <c r="AN189" s="29"/>
      <c r="AO189" s="29"/>
      <c r="AP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7"/>
      <c r="AN190" s="29"/>
      <c r="AO190" s="29"/>
      <c r="AP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7"/>
      <c r="AN191" s="29"/>
      <c r="AO191" s="29"/>
      <c r="AP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7"/>
      <c r="AN192" s="29"/>
      <c r="AO192" s="29"/>
      <c r="AP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7"/>
      <c r="AN193" s="29"/>
      <c r="AO193" s="29"/>
      <c r="AP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7"/>
      <c r="AN194" s="29"/>
      <c r="AO194" s="29"/>
      <c r="AP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7"/>
      <c r="AN195" s="29"/>
      <c r="AO195" s="29"/>
      <c r="AP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7"/>
      <c r="AN196" s="29"/>
      <c r="AO196" s="29"/>
      <c r="AP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7"/>
      <c r="AN197" s="29"/>
      <c r="AO197" s="29"/>
      <c r="AP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7"/>
      <c r="AN198" s="29"/>
      <c r="AO198" s="29"/>
      <c r="AP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7"/>
      <c r="AN199" s="29"/>
      <c r="AO199" s="29"/>
      <c r="AP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7"/>
      <c r="AN200" s="29"/>
      <c r="AO200" s="29"/>
      <c r="AP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7"/>
      <c r="AN201" s="29"/>
      <c r="AO201" s="29"/>
      <c r="AP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7"/>
      <c r="AN202" s="29"/>
      <c r="AO202" s="29"/>
      <c r="AP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7"/>
      <c r="AN203" s="29"/>
      <c r="AO203" s="29"/>
      <c r="AP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7"/>
      <c r="AN204" s="29"/>
      <c r="AO204" s="29"/>
      <c r="AP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7"/>
      <c r="AN205" s="29"/>
      <c r="AO205" s="29"/>
      <c r="AP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7"/>
      <c r="AN206" s="29"/>
      <c r="AO206" s="29"/>
      <c r="AP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7"/>
      <c r="AN207" s="29"/>
      <c r="AO207" s="29"/>
      <c r="AP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7"/>
      <c r="AN208" s="29"/>
      <c r="AO208" s="29"/>
      <c r="AP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7"/>
      <c r="AN209" s="29"/>
      <c r="AO209" s="29"/>
      <c r="AP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7"/>
      <c r="AN210" s="29"/>
      <c r="AO210" s="29"/>
      <c r="AP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7"/>
      <c r="AN211" s="29"/>
      <c r="AO211" s="29"/>
      <c r="AP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7"/>
      <c r="AN212" s="29"/>
      <c r="AO212" s="29"/>
      <c r="AP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7"/>
      <c r="AN213" s="29"/>
      <c r="AO213" s="29"/>
      <c r="AP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7"/>
      <c r="AN214" s="29"/>
      <c r="AO214" s="29"/>
      <c r="AP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7"/>
      <c r="AN215" s="29"/>
      <c r="AO215" s="29"/>
      <c r="AP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7"/>
      <c r="AN216" s="29"/>
      <c r="AO216" s="29"/>
      <c r="AP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7"/>
      <c r="AN217" s="29"/>
      <c r="AO217" s="29"/>
      <c r="AP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7"/>
      <c r="AN218" s="29"/>
      <c r="AO218" s="29"/>
      <c r="AP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7"/>
      <c r="AN219" s="29"/>
      <c r="AO219" s="29"/>
      <c r="AP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7"/>
      <c r="AN220" s="29"/>
      <c r="AO220" s="29"/>
      <c r="AP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7"/>
      <c r="AN221" s="29"/>
      <c r="AO221" s="29"/>
      <c r="AP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7"/>
      <c r="AN222" s="29"/>
      <c r="AO222" s="29"/>
      <c r="AP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7"/>
      <c r="AN223" s="29"/>
      <c r="AO223" s="29"/>
      <c r="AP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7"/>
      <c r="AN224" s="29"/>
      <c r="AO224" s="29"/>
      <c r="AP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7"/>
      <c r="AN225" s="29"/>
      <c r="AO225" s="29"/>
      <c r="AP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7"/>
      <c r="AN226" s="29"/>
      <c r="AO226" s="29"/>
      <c r="AP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7"/>
      <c r="AN227" s="29"/>
      <c r="AO227" s="29"/>
      <c r="AP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7"/>
      <c r="AN228" s="29"/>
      <c r="AO228" s="29"/>
      <c r="AP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7"/>
      <c r="AN229" s="29"/>
      <c r="AO229" s="29"/>
      <c r="AP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7"/>
      <c r="AN230" s="29"/>
      <c r="AO230" s="29"/>
      <c r="AP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7"/>
      <c r="AN231" s="29"/>
      <c r="AO231" s="29"/>
      <c r="AP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7"/>
      <c r="AN232" s="29"/>
      <c r="AO232" s="29"/>
      <c r="AP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7"/>
      <c r="AN233" s="29"/>
      <c r="AO233" s="29"/>
      <c r="AP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7"/>
      <c r="AN234" s="29"/>
      <c r="AO234" s="29"/>
      <c r="AP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7"/>
      <c r="AN235" s="29"/>
      <c r="AO235" s="29"/>
      <c r="AP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</row>
  </sheetData>
  <autoFilter ref="$A$3:$AM$3">
    <sortState ref="A3:AM3">
      <sortCondition ref="A3"/>
    </sortState>
  </autoFilter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44.86"/>
    <col customWidth="1" min="5" max="5" width="12.43"/>
    <col customWidth="1" min="6" max="7" width="11.14"/>
    <col customWidth="1" min="8" max="8" width="15.43"/>
    <col customWidth="1" min="9" max="10" width="11.14"/>
    <col customWidth="1" min="11" max="12" width="14.57"/>
    <col customWidth="1" min="13" max="17" width="13.71"/>
    <col customWidth="1" min="18" max="19" width="14.0"/>
    <col customWidth="1" min="20" max="20" width="10.43"/>
    <col customWidth="1" min="21" max="21" width="15.71"/>
    <col customWidth="1" min="22" max="22" width="14.0"/>
    <col customWidth="1" min="23" max="23" width="11.86"/>
    <col customWidth="1" min="24" max="24" width="13.29"/>
    <col customWidth="1" min="25" max="25" width="14.0"/>
    <col customWidth="1" min="26" max="26" width="17.0"/>
    <col customWidth="1" min="27" max="27" width="11.71"/>
    <col customWidth="1" min="28" max="28" width="14.14"/>
    <col customWidth="1" min="29" max="29" width="16.29"/>
    <col customWidth="1" min="30" max="30" width="11.71"/>
    <col customWidth="1" min="31" max="32" width="14.0"/>
    <col customWidth="1" min="33" max="36" width="17.43"/>
    <col customWidth="1" min="37" max="37" width="23.57"/>
    <col customWidth="1" min="38" max="38" width="3.14"/>
    <col customWidth="1" min="39" max="39" width="10.29"/>
    <col customWidth="1" min="40" max="40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5"/>
      <c r="Z1" s="5"/>
      <c r="AA1" s="5"/>
      <c r="AB1" s="5"/>
      <c r="AC1" s="5"/>
      <c r="AD1" s="5"/>
      <c r="AE1" s="6"/>
      <c r="AF1" s="5"/>
      <c r="AG1" s="5"/>
      <c r="AH1" s="4" t="s">
        <v>1</v>
      </c>
      <c r="AI1" s="4"/>
      <c r="AJ1" s="4"/>
      <c r="AK1" s="7"/>
      <c r="AL1" s="8"/>
      <c r="AM1" s="8" t="s">
        <v>2</v>
      </c>
      <c r="AN1" s="9">
        <v>45672.0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16" t="s">
        <v>107</v>
      </c>
      <c r="W2" s="10"/>
      <c r="X2" s="15"/>
      <c r="Y2" s="16"/>
      <c r="Z2" s="17"/>
      <c r="AA2" s="16"/>
      <c r="AB2" s="16"/>
      <c r="AC2" s="16"/>
      <c r="AD2" s="16"/>
      <c r="AE2" s="14" t="s">
        <v>6</v>
      </c>
      <c r="AF2" s="16"/>
      <c r="AG2" s="16"/>
      <c r="AH2" s="15"/>
      <c r="AI2" s="15"/>
      <c r="AJ2" s="15"/>
      <c r="AK2" s="7"/>
      <c r="AL2" s="8"/>
      <c r="AM2" s="8"/>
      <c r="AN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25" t="s">
        <v>29</v>
      </c>
      <c r="X3" s="27" t="s">
        <v>30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19" t="s">
        <v>35</v>
      </c>
      <c r="AF3" s="19" t="s">
        <v>36</v>
      </c>
      <c r="AG3" s="19" t="s">
        <v>37</v>
      </c>
      <c r="AH3" s="28" t="s">
        <v>38</v>
      </c>
      <c r="AI3" s="28" t="s">
        <v>39</v>
      </c>
      <c r="AJ3" s="28" t="s">
        <v>40</v>
      </c>
      <c r="AK3" s="19" t="s">
        <v>41</v>
      </c>
      <c r="AL3" s="29"/>
      <c r="AM3" s="29"/>
      <c r="AN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DATEDIF(H4,$AN$1,"y")</f>
        <v>6</v>
      </c>
      <c r="J4" s="36" t="s">
        <v>48</v>
      </c>
      <c r="K4" s="38">
        <v>44528.0</v>
      </c>
      <c r="L4" s="39">
        <v>2021.0</v>
      </c>
      <c r="M4" s="4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47" t="s">
        <v>49</v>
      </c>
      <c r="W4" s="48">
        <v>44658.0</v>
      </c>
      <c r="X4" s="50">
        <v>1530000.0</v>
      </c>
      <c r="Y4" s="51">
        <f t="shared" ref="Y4:Y8" si="6">P4-AF4</f>
        <v>65</v>
      </c>
      <c r="Z4" s="50">
        <v>10342.0</v>
      </c>
      <c r="AA4" s="52">
        <f t="shared" ref="AA4:AA9" si="7">Y4/Z4</f>
        <v>0.006285051247</v>
      </c>
      <c r="AB4" s="53">
        <f t="shared" ref="AB4:AB9" si="8">Z4*X4/100000000</f>
        <v>158.2326</v>
      </c>
      <c r="AC4" s="54">
        <f t="shared" ref="AC4:AC9" si="9">X4*Y4</f>
        <v>99450000</v>
      </c>
      <c r="AD4" s="55">
        <f t="shared" ref="AD4:AD19" si="10">AC4/S4</f>
        <v>1</v>
      </c>
      <c r="AE4" s="56"/>
      <c r="AF4" s="51"/>
      <c r="AG4" s="54">
        <f t="shared" ref="AG4:AG8" si="11">AE4*AF4</f>
        <v>0</v>
      </c>
      <c r="AH4" s="57" t="s">
        <v>51</v>
      </c>
      <c r="AI4" s="57" t="s">
        <v>51</v>
      </c>
      <c r="AJ4" s="57" t="s">
        <v>51</v>
      </c>
      <c r="AK4" s="58"/>
      <c r="AL4" s="59"/>
      <c r="AM4" s="29"/>
      <c r="AN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4</v>
      </c>
      <c r="J5" s="36" t="s">
        <v>48</v>
      </c>
      <c r="K5" s="38">
        <v>44498.0</v>
      </c>
      <c r="L5" s="39">
        <v>2021.0</v>
      </c>
      <c r="M5" s="60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61" t="s">
        <v>57</v>
      </c>
      <c r="W5" s="48">
        <v>45644.0</v>
      </c>
      <c r="X5" s="50">
        <v>184960.0</v>
      </c>
      <c r="Y5" s="51">
        <f t="shared" si="6"/>
        <v>5500</v>
      </c>
      <c r="Z5" s="50">
        <v>204246.0</v>
      </c>
      <c r="AA5" s="52">
        <f t="shared" si="7"/>
        <v>0.02692831194</v>
      </c>
      <c r="AB5" s="53">
        <f t="shared" si="8"/>
        <v>377.7734016</v>
      </c>
      <c r="AC5" s="54">
        <f t="shared" si="9"/>
        <v>1017280000</v>
      </c>
      <c r="AD5" s="55">
        <f t="shared" si="10"/>
        <v>9.997837838</v>
      </c>
      <c r="AE5" s="56"/>
      <c r="AF5" s="51"/>
      <c r="AG5" s="54">
        <f t="shared" si="11"/>
        <v>0</v>
      </c>
      <c r="AH5" s="57"/>
      <c r="AI5" s="57"/>
      <c r="AJ5" s="57"/>
      <c r="AK5" s="58" t="s">
        <v>58</v>
      </c>
      <c r="AL5" s="29"/>
      <c r="AM5" s="29"/>
      <c r="AN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4</v>
      </c>
      <c r="J6" s="36" t="s">
        <v>48</v>
      </c>
      <c r="K6" s="38">
        <v>44671.0</v>
      </c>
      <c r="L6" s="39">
        <v>2022.0</v>
      </c>
      <c r="M6" s="60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61" t="s">
        <v>57</v>
      </c>
      <c r="W6" s="48">
        <v>45644.0</v>
      </c>
      <c r="X6" s="50">
        <v>184960.0</v>
      </c>
      <c r="Y6" s="51">
        <f t="shared" si="6"/>
        <v>4766</v>
      </c>
      <c r="Z6" s="50">
        <v>204246.0</v>
      </c>
      <c r="AA6" s="52">
        <f t="shared" si="7"/>
        <v>0.02333460631</v>
      </c>
      <c r="AB6" s="53">
        <f t="shared" si="8"/>
        <v>377.7734016</v>
      </c>
      <c r="AC6" s="54">
        <f t="shared" si="9"/>
        <v>881519360</v>
      </c>
      <c r="AD6" s="55">
        <f t="shared" si="10"/>
        <v>2.93890522</v>
      </c>
      <c r="AE6" s="56"/>
      <c r="AF6" s="51"/>
      <c r="AG6" s="54">
        <f t="shared" si="11"/>
        <v>0</v>
      </c>
      <c r="AH6" s="57"/>
      <c r="AI6" s="57"/>
      <c r="AJ6" s="57"/>
      <c r="AK6" s="58" t="s">
        <v>58</v>
      </c>
      <c r="AL6" s="29"/>
      <c r="AM6" s="29"/>
      <c r="AN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4</v>
      </c>
      <c r="J7" s="36" t="s">
        <v>48</v>
      </c>
      <c r="K7" s="38">
        <v>44491.0</v>
      </c>
      <c r="L7" s="39">
        <v>2021.0</v>
      </c>
      <c r="M7" s="60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2">R7*P7</f>
        <v>99989070</v>
      </c>
      <c r="T7" s="45">
        <f t="shared" si="4"/>
        <v>0.05262697635</v>
      </c>
      <c r="U7" s="46">
        <f t="shared" si="5"/>
        <v>18.9995848</v>
      </c>
      <c r="V7" s="61" t="s">
        <v>62</v>
      </c>
      <c r="W7" s="48" t="s">
        <v>108</v>
      </c>
      <c r="X7" s="50">
        <v>235000.0</v>
      </c>
      <c r="Y7" s="51">
        <f t="shared" si="6"/>
        <v>3009</v>
      </c>
      <c r="Z7" s="77">
        <v>90637.0</v>
      </c>
      <c r="AA7" s="52">
        <f t="shared" si="7"/>
        <v>0.0331983627</v>
      </c>
      <c r="AB7" s="53">
        <f t="shared" si="8"/>
        <v>212.99695</v>
      </c>
      <c r="AC7" s="54">
        <f t="shared" si="9"/>
        <v>707115000</v>
      </c>
      <c r="AD7" s="55">
        <f t="shared" si="10"/>
        <v>7.071922961</v>
      </c>
      <c r="AE7" s="56"/>
      <c r="AF7" s="51"/>
      <c r="AG7" s="54">
        <f t="shared" si="11"/>
        <v>0</v>
      </c>
      <c r="AH7" s="57"/>
      <c r="AI7" s="57"/>
      <c r="AJ7" s="57"/>
      <c r="AK7" s="58" t="s">
        <v>58</v>
      </c>
      <c r="AL7" s="29"/>
      <c r="AM7" s="29"/>
      <c r="AN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4</v>
      </c>
      <c r="J8" s="36" t="s">
        <v>48</v>
      </c>
      <c r="K8" s="38">
        <v>44932.0</v>
      </c>
      <c r="L8" s="39">
        <v>2023.0</v>
      </c>
      <c r="M8" s="117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2"/>
        <v>99947890</v>
      </c>
      <c r="T8" s="45">
        <f t="shared" si="4"/>
        <v>0.004422501106</v>
      </c>
      <c r="U8" s="46">
        <f t="shared" si="5"/>
        <v>225.9985642</v>
      </c>
      <c r="V8" s="61" t="s">
        <v>66</v>
      </c>
      <c r="W8" s="48">
        <v>45563.0</v>
      </c>
      <c r="X8" s="50">
        <v>190520.0</v>
      </c>
      <c r="Y8" s="51">
        <f t="shared" si="6"/>
        <v>610</v>
      </c>
      <c r="Z8" s="118">
        <v>166385.0</v>
      </c>
      <c r="AA8" s="52">
        <f t="shared" si="7"/>
        <v>0.003666195871</v>
      </c>
      <c r="AB8" s="53">
        <f t="shared" si="8"/>
        <v>316.996702</v>
      </c>
      <c r="AC8" s="54">
        <f t="shared" si="9"/>
        <v>116217200</v>
      </c>
      <c r="AD8" s="55">
        <f t="shared" si="10"/>
        <v>1.162777924</v>
      </c>
      <c r="AE8" s="56"/>
      <c r="AF8" s="51"/>
      <c r="AG8" s="54">
        <f t="shared" si="11"/>
        <v>0</v>
      </c>
      <c r="AH8" s="57"/>
      <c r="AI8" s="57"/>
      <c r="AJ8" s="57"/>
      <c r="AK8" s="58"/>
      <c r="AL8" s="29"/>
      <c r="AM8" s="29"/>
      <c r="AN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4</v>
      </c>
      <c r="J9" s="36" t="s">
        <v>48</v>
      </c>
      <c r="K9" s="38">
        <v>45562.0</v>
      </c>
      <c r="L9" s="39">
        <v>2024.0</v>
      </c>
      <c r="M9" s="117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2"/>
        <v>200046000</v>
      </c>
      <c r="T9" s="45">
        <f t="shared" si="4"/>
        <v>0.006310665024</v>
      </c>
      <c r="U9" s="46">
        <f t="shared" si="5"/>
        <v>316.996702</v>
      </c>
      <c r="V9" s="61" t="s">
        <v>66</v>
      </c>
      <c r="W9" s="48">
        <v>45563.0</v>
      </c>
      <c r="X9" s="50">
        <v>190520.0</v>
      </c>
      <c r="Y9" s="51">
        <v>1050.0</v>
      </c>
      <c r="Z9" s="118">
        <v>166385.0</v>
      </c>
      <c r="AA9" s="52">
        <f t="shared" si="7"/>
        <v>0.006310665024</v>
      </c>
      <c r="AB9" s="53">
        <f t="shared" si="8"/>
        <v>316.996702</v>
      </c>
      <c r="AC9" s="54">
        <f t="shared" si="9"/>
        <v>200046000</v>
      </c>
      <c r="AD9" s="55">
        <f t="shared" si="10"/>
        <v>1</v>
      </c>
      <c r="AE9" s="68"/>
      <c r="AF9" s="51"/>
      <c r="AG9" s="54">
        <v>0.0</v>
      </c>
      <c r="AH9" s="57"/>
      <c r="AI9" s="57"/>
      <c r="AJ9" s="57"/>
      <c r="AK9" s="58"/>
      <c r="AL9" s="29"/>
      <c r="AM9" s="29"/>
      <c r="AN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4</v>
      </c>
      <c r="J10" s="36" t="s">
        <v>48</v>
      </c>
      <c r="K10" s="38">
        <v>44886.0</v>
      </c>
      <c r="L10" s="39">
        <v>2022.0</v>
      </c>
      <c r="M10" s="117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3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61" t="s">
        <v>55</v>
      </c>
      <c r="W10" s="64">
        <v>44944.0</v>
      </c>
      <c r="X10" s="50">
        <v>1.0E8</v>
      </c>
      <c r="Y10" s="51" t="s">
        <v>72</v>
      </c>
      <c r="Z10" s="71">
        <f t="shared" ref="Z10:Z11" si="14">Q10</f>
        <v>7356025</v>
      </c>
      <c r="AA10" s="52"/>
      <c r="AB10" s="72" t="s">
        <v>73</v>
      </c>
      <c r="AC10" s="50">
        <v>1.0E8</v>
      </c>
      <c r="AD10" s="55">
        <f t="shared" si="10"/>
        <v>1</v>
      </c>
      <c r="AE10" s="68"/>
      <c r="AF10" s="51"/>
      <c r="AG10" s="54"/>
      <c r="AH10" s="57"/>
      <c r="AI10" s="57"/>
      <c r="AJ10" s="57"/>
      <c r="AK10" s="58"/>
      <c r="AL10" s="29"/>
      <c r="AM10" s="29"/>
      <c r="AN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4</v>
      </c>
      <c r="J11" s="36" t="s">
        <v>48</v>
      </c>
      <c r="K11" s="38">
        <v>44944.0</v>
      </c>
      <c r="L11" s="39">
        <v>2023.0</v>
      </c>
      <c r="M11" s="117" t="s">
        <v>55</v>
      </c>
      <c r="N11" s="41" t="s">
        <v>71</v>
      </c>
      <c r="O11" s="69">
        <v>7356025.0</v>
      </c>
      <c r="P11" s="43" t="s">
        <v>72</v>
      </c>
      <c r="Q11" s="44">
        <f t="shared" si="13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61" t="s">
        <v>55</v>
      </c>
      <c r="W11" s="64">
        <v>44944.0</v>
      </c>
      <c r="X11" s="50">
        <v>2.0E8</v>
      </c>
      <c r="Y11" s="51" t="s">
        <v>72</v>
      </c>
      <c r="Z11" s="71">
        <f t="shared" si="14"/>
        <v>7356025</v>
      </c>
      <c r="AA11" s="52"/>
      <c r="AB11" s="72" t="s">
        <v>73</v>
      </c>
      <c r="AC11" s="50">
        <v>2.0E8</v>
      </c>
      <c r="AD11" s="55">
        <f t="shared" si="10"/>
        <v>1</v>
      </c>
      <c r="AE11" s="68"/>
      <c r="AF11" s="51"/>
      <c r="AG11" s="54"/>
      <c r="AH11" s="57"/>
      <c r="AI11" s="57"/>
      <c r="AJ11" s="57"/>
      <c r="AK11" s="58"/>
      <c r="AL11" s="29"/>
      <c r="AM11" s="29"/>
      <c r="AN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7</v>
      </c>
      <c r="J12" s="36" t="s">
        <v>48</v>
      </c>
      <c r="K12" s="38">
        <v>44715.0</v>
      </c>
      <c r="L12" s="39">
        <v>2022.0</v>
      </c>
      <c r="M12" s="117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5">O12+P12</f>
        <v>586190</v>
      </c>
      <c r="R12" s="43">
        <v>32243.0</v>
      </c>
      <c r="S12" s="44">
        <f t="shared" ref="S12:S14" si="16">R12*P12</f>
        <v>99985543</v>
      </c>
      <c r="T12" s="45">
        <f t="shared" ref="T12:T14" si="17">P12/Q12</f>
        <v>0.005290093656</v>
      </c>
      <c r="U12" s="46">
        <f t="shared" ref="U12:U14" si="18">Q12*R12/100000000</f>
        <v>189.0052417</v>
      </c>
      <c r="V12" s="61" t="s">
        <v>62</v>
      </c>
      <c r="W12" s="48">
        <v>45317.0</v>
      </c>
      <c r="X12" s="50">
        <v>34155.0</v>
      </c>
      <c r="Y12" s="51">
        <f t="shared" ref="Y12:Y14" si="19">P12-AF12</f>
        <v>3101</v>
      </c>
      <c r="Z12" s="50">
        <v>661696.0</v>
      </c>
      <c r="AA12" s="52">
        <f t="shared" ref="AA12:AA14" si="20">Y12/Z12</f>
        <v>0.004686442112</v>
      </c>
      <c r="AB12" s="53">
        <f t="shared" ref="AB12:AB14" si="21">Z12*X12/100000000</f>
        <v>226.0022688</v>
      </c>
      <c r="AC12" s="54">
        <f t="shared" ref="AC12:AC14" si="22">X12*Y12</f>
        <v>105914655</v>
      </c>
      <c r="AD12" s="55">
        <f t="shared" si="10"/>
        <v>1.059299693</v>
      </c>
      <c r="AE12" s="56"/>
      <c r="AF12" s="51"/>
      <c r="AG12" s="54">
        <f t="shared" ref="AG12:AG14" si="23">AE12*AF12</f>
        <v>0</v>
      </c>
      <c r="AH12" s="57"/>
      <c r="AI12" s="57"/>
      <c r="AJ12" s="57"/>
      <c r="AK12" s="58"/>
      <c r="AL12" s="29"/>
      <c r="AM12" s="29"/>
      <c r="AN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7</v>
      </c>
      <c r="J13" s="36" t="s">
        <v>48</v>
      </c>
      <c r="K13" s="38">
        <v>44936.0</v>
      </c>
      <c r="L13" s="39">
        <v>2023.0</v>
      </c>
      <c r="M13" s="117" t="s">
        <v>62</v>
      </c>
      <c r="N13" s="33" t="s">
        <v>56</v>
      </c>
      <c r="O13" s="66">
        <v>583089.0</v>
      </c>
      <c r="P13" s="43">
        <v>2482.0</v>
      </c>
      <c r="Q13" s="44">
        <f t="shared" si="15"/>
        <v>585571</v>
      </c>
      <c r="R13" s="43">
        <v>40304.0</v>
      </c>
      <c r="S13" s="44">
        <f t="shared" si="16"/>
        <v>100034528</v>
      </c>
      <c r="T13" s="45">
        <f t="shared" si="17"/>
        <v>0.004238597881</v>
      </c>
      <c r="U13" s="46">
        <f t="shared" si="18"/>
        <v>236.0085358</v>
      </c>
      <c r="V13" s="61" t="s">
        <v>62</v>
      </c>
      <c r="W13" s="48">
        <v>45317.0</v>
      </c>
      <c r="X13" s="50">
        <v>34155.0</v>
      </c>
      <c r="Y13" s="51">
        <f t="shared" si="19"/>
        <v>2482</v>
      </c>
      <c r="Z13" s="50">
        <v>661696.0</v>
      </c>
      <c r="AA13" s="52">
        <f t="shared" si="20"/>
        <v>0.003750967212</v>
      </c>
      <c r="AB13" s="53">
        <f t="shared" si="21"/>
        <v>226.0022688</v>
      </c>
      <c r="AC13" s="54">
        <f t="shared" si="22"/>
        <v>84772710</v>
      </c>
      <c r="AD13" s="55">
        <f t="shared" si="10"/>
        <v>0.8474344978</v>
      </c>
      <c r="AE13" s="56"/>
      <c r="AF13" s="51"/>
      <c r="AG13" s="54">
        <f t="shared" si="23"/>
        <v>0</v>
      </c>
      <c r="AH13" s="57"/>
      <c r="AI13" s="57"/>
      <c r="AJ13" s="57"/>
      <c r="AK13" s="58"/>
      <c r="AL13" s="29"/>
      <c r="AM13" s="29"/>
      <c r="AN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5</v>
      </c>
      <c r="J14" s="36" t="s">
        <v>48</v>
      </c>
      <c r="K14" s="38">
        <v>44683.0</v>
      </c>
      <c r="L14" s="39">
        <v>2022.0</v>
      </c>
      <c r="M14" s="117" t="s">
        <v>55</v>
      </c>
      <c r="N14" s="41" t="s">
        <v>56</v>
      </c>
      <c r="O14" s="42">
        <v>100000.0</v>
      </c>
      <c r="P14" s="43">
        <v>3705.0</v>
      </c>
      <c r="Q14" s="44">
        <f t="shared" si="15"/>
        <v>103705</v>
      </c>
      <c r="R14" s="43">
        <v>27000.0</v>
      </c>
      <c r="S14" s="44">
        <f t="shared" si="16"/>
        <v>100035000</v>
      </c>
      <c r="T14" s="45">
        <f t="shared" si="17"/>
        <v>0.03572633914</v>
      </c>
      <c r="U14" s="46">
        <f t="shared" si="18"/>
        <v>28.00035</v>
      </c>
      <c r="V14" s="61" t="s">
        <v>54</v>
      </c>
      <c r="W14" s="48">
        <v>44684.0</v>
      </c>
      <c r="X14" s="50">
        <v>27000.0</v>
      </c>
      <c r="Y14" s="51">
        <f t="shared" si="19"/>
        <v>3705</v>
      </c>
      <c r="Z14" s="50">
        <v>103705.0</v>
      </c>
      <c r="AA14" s="52">
        <f t="shared" si="20"/>
        <v>0.03572633914</v>
      </c>
      <c r="AB14" s="53">
        <f t="shared" si="21"/>
        <v>28.00035</v>
      </c>
      <c r="AC14" s="54">
        <f t="shared" si="22"/>
        <v>100035000</v>
      </c>
      <c r="AD14" s="55">
        <f t="shared" si="10"/>
        <v>1</v>
      </c>
      <c r="AE14" s="68"/>
      <c r="AF14" s="51"/>
      <c r="AG14" s="54">
        <f t="shared" si="23"/>
        <v>0</v>
      </c>
      <c r="AH14" s="57"/>
      <c r="AI14" s="57"/>
      <c r="AJ14" s="57"/>
      <c r="AK14" s="58"/>
      <c r="AL14" s="29"/>
      <c r="AM14" s="29"/>
      <c r="AN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3</v>
      </c>
      <c r="J15" s="36" t="s">
        <v>48</v>
      </c>
      <c r="K15" s="38">
        <v>44694.0</v>
      </c>
      <c r="L15" s="39">
        <v>2022.0</v>
      </c>
      <c r="M15" s="117" t="s">
        <v>55</v>
      </c>
      <c r="N15" s="41" t="s">
        <v>71</v>
      </c>
      <c r="O15" s="69">
        <v>6677.0</v>
      </c>
      <c r="P15" s="43" t="s">
        <v>72</v>
      </c>
      <c r="Q15" s="44">
        <f>O15</f>
        <v>6677</v>
      </c>
      <c r="R15" s="43">
        <v>1.0E8</v>
      </c>
      <c r="S15" s="43">
        <v>1.0E8</v>
      </c>
      <c r="T15" s="45" t="s">
        <v>72</v>
      </c>
      <c r="U15" s="69" t="s">
        <v>84</v>
      </c>
      <c r="V15" s="75" t="s">
        <v>55</v>
      </c>
      <c r="W15" s="48" t="s">
        <v>54</v>
      </c>
      <c r="X15" s="50">
        <v>1.0E8</v>
      </c>
      <c r="Y15" s="51" t="s">
        <v>72</v>
      </c>
      <c r="Z15" s="71">
        <f>Q15</f>
        <v>6677</v>
      </c>
      <c r="AA15" s="52"/>
      <c r="AB15" s="76" t="s">
        <v>84</v>
      </c>
      <c r="AC15" s="50">
        <v>1.0E8</v>
      </c>
      <c r="AD15" s="55">
        <f t="shared" si="10"/>
        <v>1</v>
      </c>
      <c r="AE15" s="56"/>
      <c r="AF15" s="51"/>
      <c r="AG15" s="54"/>
      <c r="AH15" s="57"/>
      <c r="AI15" s="57"/>
      <c r="AJ15" s="57"/>
      <c r="AK15" s="58" t="s">
        <v>85</v>
      </c>
      <c r="AL15" s="29"/>
      <c r="AM15" s="29"/>
      <c r="AN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6</v>
      </c>
      <c r="J16" s="36" t="s">
        <v>48</v>
      </c>
      <c r="K16" s="38">
        <v>45107.0</v>
      </c>
      <c r="L16" s="39">
        <v>2023.0</v>
      </c>
      <c r="M16" s="117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4">O16+P16</f>
        <v>28099</v>
      </c>
      <c r="R16" s="43">
        <v>722470.0</v>
      </c>
      <c r="S16" s="44">
        <f t="shared" ref="S16:S19" si="25">R16*P16</f>
        <v>300547520</v>
      </c>
      <c r="T16" s="45">
        <f t="shared" ref="T16:T19" si="26">P16/Q16</f>
        <v>0.01480479732</v>
      </c>
      <c r="U16" s="46">
        <f t="shared" ref="U16:U19" si="27">Q16*R16/100000000</f>
        <v>203.0068453</v>
      </c>
      <c r="V16" s="61" t="s">
        <v>57</v>
      </c>
      <c r="W16" s="64">
        <v>45597.0</v>
      </c>
      <c r="X16" s="50">
        <v>327150.0</v>
      </c>
      <c r="Y16" s="51">
        <f t="shared" ref="Y16:Y19" si="28">P16-AF16</f>
        <v>416</v>
      </c>
      <c r="Z16" s="50">
        <v>30568.0</v>
      </c>
      <c r="AA16" s="52">
        <f t="shared" ref="AA16:AA19" si="29">Y16/Z16</f>
        <v>0.01360900288</v>
      </c>
      <c r="AB16" s="53">
        <f t="shared" ref="AB16:AB19" si="30">Z16*X16/100000000</f>
        <v>100.003212</v>
      </c>
      <c r="AC16" s="54">
        <f t="shared" ref="AC16:AC19" si="31">X16*Y16</f>
        <v>136094400</v>
      </c>
      <c r="AD16" s="55">
        <f t="shared" si="10"/>
        <v>0.4528215704</v>
      </c>
      <c r="AE16" s="56"/>
      <c r="AF16" s="51"/>
      <c r="AG16" s="54">
        <f>AE16*AF16</f>
        <v>0</v>
      </c>
      <c r="AH16" s="57" t="s">
        <v>88</v>
      </c>
      <c r="AI16" s="57" t="s">
        <v>89</v>
      </c>
      <c r="AJ16" s="57" t="s">
        <v>90</v>
      </c>
      <c r="AK16" s="58" t="s">
        <v>91</v>
      </c>
      <c r="AL16" s="29"/>
      <c r="AM16" s="29"/>
      <c r="AN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6</v>
      </c>
      <c r="J17" s="36" t="s">
        <v>48</v>
      </c>
      <c r="K17" s="38">
        <v>45254.0</v>
      </c>
      <c r="L17" s="39">
        <v>2023.0</v>
      </c>
      <c r="M17" s="117" t="s">
        <v>57</v>
      </c>
      <c r="N17" s="41" t="s">
        <v>56</v>
      </c>
      <c r="O17" s="42">
        <v>28099.0</v>
      </c>
      <c r="P17" s="43">
        <v>139.0</v>
      </c>
      <c r="Q17" s="44">
        <f t="shared" si="24"/>
        <v>28238</v>
      </c>
      <c r="R17" s="43">
        <v>722470.0</v>
      </c>
      <c r="S17" s="44">
        <f t="shared" si="25"/>
        <v>100423330</v>
      </c>
      <c r="T17" s="45">
        <f t="shared" si="26"/>
        <v>0.004922444932</v>
      </c>
      <c r="U17" s="46">
        <f t="shared" si="27"/>
        <v>204.0110786</v>
      </c>
      <c r="V17" s="61" t="s">
        <v>57</v>
      </c>
      <c r="W17" s="64">
        <v>45597.0</v>
      </c>
      <c r="X17" s="50">
        <v>327150.0</v>
      </c>
      <c r="Y17" s="51">
        <f t="shared" si="28"/>
        <v>139</v>
      </c>
      <c r="Z17" s="50">
        <v>30568.0</v>
      </c>
      <c r="AA17" s="52">
        <f t="shared" si="29"/>
        <v>0.004547238943</v>
      </c>
      <c r="AB17" s="53">
        <f t="shared" si="30"/>
        <v>100.003212</v>
      </c>
      <c r="AC17" s="54">
        <f t="shared" si="31"/>
        <v>45473850</v>
      </c>
      <c r="AD17" s="55">
        <f t="shared" si="10"/>
        <v>0.4528215704</v>
      </c>
      <c r="AE17" s="56"/>
      <c r="AF17" s="51"/>
      <c r="AG17" s="54">
        <v>0.0</v>
      </c>
      <c r="AH17" s="57"/>
      <c r="AI17" s="57"/>
      <c r="AJ17" s="57"/>
      <c r="AK17" s="58" t="s">
        <v>91</v>
      </c>
      <c r="AL17" s="29"/>
      <c r="AM17" s="29"/>
      <c r="AN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4</v>
      </c>
      <c r="J18" s="36" t="s">
        <v>48</v>
      </c>
      <c r="K18" s="38">
        <v>45127.0</v>
      </c>
      <c r="L18" s="39">
        <v>2023.0</v>
      </c>
      <c r="M18" s="117" t="s">
        <v>62</v>
      </c>
      <c r="N18" s="41" t="s">
        <v>56</v>
      </c>
      <c r="O18" s="42">
        <v>373763.0</v>
      </c>
      <c r="P18" s="43">
        <v>4477.0</v>
      </c>
      <c r="Q18" s="44">
        <f t="shared" si="24"/>
        <v>378240</v>
      </c>
      <c r="R18" s="43">
        <v>44680.0</v>
      </c>
      <c r="S18" s="44">
        <f t="shared" si="25"/>
        <v>200032360</v>
      </c>
      <c r="T18" s="45">
        <f t="shared" si="26"/>
        <v>0.01183640017</v>
      </c>
      <c r="U18" s="46">
        <f t="shared" si="27"/>
        <v>168.997632</v>
      </c>
      <c r="V18" s="119" t="s">
        <v>109</v>
      </c>
      <c r="W18" s="120">
        <v>45777.0</v>
      </c>
      <c r="X18" s="77">
        <v>56911.0</v>
      </c>
      <c r="Y18" s="51">
        <f t="shared" si="28"/>
        <v>4477</v>
      </c>
      <c r="Z18" s="118">
        <v>415919.0</v>
      </c>
      <c r="AA18" s="52">
        <f t="shared" si="29"/>
        <v>0.01076411513</v>
      </c>
      <c r="AB18" s="53">
        <f t="shared" si="30"/>
        <v>236.7036621</v>
      </c>
      <c r="AC18" s="54">
        <f t="shared" si="31"/>
        <v>254790547</v>
      </c>
      <c r="AD18" s="55">
        <f t="shared" si="10"/>
        <v>1.273746643</v>
      </c>
      <c r="AE18" s="56"/>
      <c r="AF18" s="51"/>
      <c r="AG18" s="54">
        <f>AE18*AF18</f>
        <v>0</v>
      </c>
      <c r="AH18" s="57" t="s">
        <v>95</v>
      </c>
      <c r="AI18" s="57" t="s">
        <v>96</v>
      </c>
      <c r="AJ18" s="57" t="s">
        <v>97</v>
      </c>
      <c r="AK18" s="58"/>
      <c r="AL18" s="29"/>
      <c r="AM18" s="29"/>
      <c r="AN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4</v>
      </c>
      <c r="J19" s="36" t="s">
        <v>48</v>
      </c>
      <c r="K19" s="38">
        <v>45265.0</v>
      </c>
      <c r="L19" s="39">
        <v>2023.0</v>
      </c>
      <c r="M19" s="60" t="s">
        <v>62</v>
      </c>
      <c r="N19" s="41" t="s">
        <v>56</v>
      </c>
      <c r="O19" s="42">
        <v>382716.0</v>
      </c>
      <c r="P19" s="43">
        <v>2239.0</v>
      </c>
      <c r="Q19" s="44">
        <f t="shared" si="24"/>
        <v>384955</v>
      </c>
      <c r="R19" s="43">
        <v>44680.0</v>
      </c>
      <c r="S19" s="44">
        <f t="shared" si="25"/>
        <v>100038520</v>
      </c>
      <c r="T19" s="45">
        <f t="shared" si="26"/>
        <v>0.005816264239</v>
      </c>
      <c r="U19" s="46">
        <f t="shared" si="27"/>
        <v>171.997894</v>
      </c>
      <c r="V19" s="119" t="s">
        <v>109</v>
      </c>
      <c r="W19" s="120">
        <v>45777.0</v>
      </c>
      <c r="X19" s="77">
        <v>56911.0</v>
      </c>
      <c r="Y19" s="51">
        <f t="shared" si="28"/>
        <v>2239</v>
      </c>
      <c r="Z19" s="118">
        <v>415919.0</v>
      </c>
      <c r="AA19" s="52">
        <f t="shared" si="29"/>
        <v>0.005383259721</v>
      </c>
      <c r="AB19" s="53">
        <f t="shared" si="30"/>
        <v>236.7036621</v>
      </c>
      <c r="AC19" s="54">
        <f t="shared" si="31"/>
        <v>127423729</v>
      </c>
      <c r="AD19" s="55">
        <f t="shared" si="10"/>
        <v>1.273746643</v>
      </c>
      <c r="AE19" s="68"/>
      <c r="AF19" s="51"/>
      <c r="AG19" s="54">
        <v>0.0</v>
      </c>
      <c r="AH19" s="57" t="s">
        <v>95</v>
      </c>
      <c r="AI19" s="57" t="s">
        <v>96</v>
      </c>
      <c r="AJ19" s="57" t="s">
        <v>99</v>
      </c>
      <c r="AK19" s="58"/>
      <c r="AL19" s="29"/>
      <c r="AM19" s="29"/>
      <c r="AN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3"/>
      <c r="AG20" s="85"/>
      <c r="AH20" s="85"/>
      <c r="AI20" s="85"/>
      <c r="AJ20" s="85"/>
      <c r="AK20" s="87"/>
      <c r="AL20" s="8"/>
      <c r="AM20" s="8"/>
      <c r="AN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4276132451</v>
      </c>
      <c r="AD21" s="93">
        <f>AC21/S21</f>
        <v>1.857388801</v>
      </c>
      <c r="AE21" s="91"/>
      <c r="AF21" s="94"/>
      <c r="AG21" s="91"/>
      <c r="AH21" s="91"/>
      <c r="AI21" s="91"/>
      <c r="AJ21" s="91"/>
      <c r="AK21" s="95"/>
      <c r="AL21" s="96"/>
      <c r="AM21" s="96"/>
      <c r="AN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101"/>
      <c r="AG22" s="98"/>
      <c r="AH22" s="98"/>
      <c r="AI22" s="98"/>
      <c r="AJ22" s="98"/>
      <c r="AK22" s="102"/>
      <c r="AL22" s="29"/>
      <c r="AM22" s="29"/>
      <c r="AN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103"/>
      <c r="AL23" s="29"/>
      <c r="AM23" s="29"/>
      <c r="AN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7"/>
      <c r="AL24" s="29"/>
      <c r="AM24" s="29"/>
      <c r="AN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7"/>
      <c r="AL25" s="29"/>
      <c r="AM25" s="29"/>
      <c r="AN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7"/>
      <c r="AL26" s="29"/>
      <c r="AM26" s="29"/>
      <c r="AN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7"/>
      <c r="AL27" s="29"/>
      <c r="AM27" s="29"/>
      <c r="AN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7"/>
      <c r="AL28" s="29"/>
      <c r="AM28" s="29"/>
      <c r="AN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7"/>
      <c r="AL29" s="29"/>
      <c r="AM29" s="29"/>
      <c r="AN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"/>
      <c r="Q30" s="8"/>
      <c r="R30" s="8"/>
      <c r="S30" s="8"/>
      <c r="T30" s="8"/>
      <c r="U30" s="8"/>
      <c r="V30" s="8"/>
      <c r="W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7"/>
      <c r="AL30" s="29"/>
      <c r="AM30" s="29"/>
      <c r="AN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7"/>
      <c r="AL31" s="29"/>
      <c r="AM31" s="29"/>
      <c r="AN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7"/>
      <c r="AL32" s="29"/>
      <c r="AM32" s="29"/>
      <c r="AN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7"/>
      <c r="AL33" s="29"/>
      <c r="AM33" s="29"/>
      <c r="AN33" s="29"/>
    </row>
    <row r="34" ht="16.5" customHeight="1">
      <c r="A34" s="8"/>
      <c r="B34" s="121">
        <v>45838.0</v>
      </c>
      <c r="C34" s="111"/>
      <c r="D34" s="111">
        <f>AC21</f>
        <v>4276132451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7"/>
      <c r="AL34" s="29"/>
      <c r="AM34" s="29"/>
      <c r="AN34" s="29"/>
    </row>
    <row r="35" ht="16.5" customHeight="1">
      <c r="A35" s="8"/>
      <c r="B35" s="113" t="s">
        <v>106</v>
      </c>
      <c r="C35" s="114"/>
      <c r="D35" s="114">
        <f>XIRR(D25:D34,B25:B34)</f>
        <v>0.1953423699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7"/>
      <c r="AL35" s="29"/>
      <c r="AM35" s="29"/>
      <c r="AN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7"/>
      <c r="AL36" s="29"/>
      <c r="AM36" s="29"/>
      <c r="AN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7"/>
      <c r="AL37" s="29"/>
      <c r="AM37" s="29"/>
      <c r="AN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7"/>
      <c r="AL38" s="29"/>
      <c r="AM38" s="29"/>
      <c r="AN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7"/>
      <c r="AL39" s="29"/>
      <c r="AM39" s="29"/>
      <c r="AN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7"/>
      <c r="AL40" s="29"/>
      <c r="AM40" s="29"/>
      <c r="AN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7"/>
      <c r="AL41" s="29"/>
      <c r="AM41" s="29"/>
      <c r="AN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7"/>
      <c r="AL42" s="29"/>
      <c r="AM42" s="29"/>
      <c r="AN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7"/>
      <c r="AL43" s="29"/>
      <c r="AM43" s="29"/>
      <c r="AN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7"/>
      <c r="AL44" s="29"/>
      <c r="AM44" s="29"/>
      <c r="AN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7"/>
      <c r="AL45" s="29"/>
      <c r="AM45" s="29"/>
      <c r="AN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7"/>
      <c r="AL46" s="29"/>
      <c r="AM46" s="29"/>
      <c r="AN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7"/>
      <c r="AL47" s="29"/>
      <c r="AM47" s="29"/>
      <c r="AN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7"/>
      <c r="AL48" s="29"/>
      <c r="AM48" s="29"/>
      <c r="AN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7"/>
      <c r="AL49" s="29"/>
      <c r="AM49" s="29"/>
      <c r="AN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7"/>
      <c r="AL50" s="29"/>
      <c r="AM50" s="29"/>
      <c r="AN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7"/>
      <c r="AL51" s="29"/>
      <c r="AM51" s="29"/>
      <c r="AN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7"/>
      <c r="AL52" s="29"/>
      <c r="AM52" s="29"/>
      <c r="AN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7"/>
      <c r="AL53" s="29"/>
      <c r="AM53" s="29"/>
      <c r="AN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7"/>
      <c r="AL54" s="29"/>
      <c r="AM54" s="29"/>
      <c r="AN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7"/>
      <c r="AL55" s="29"/>
      <c r="AM55" s="29"/>
      <c r="AN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"/>
      <c r="AL56" s="29"/>
      <c r="AM56" s="29"/>
      <c r="AN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7"/>
      <c r="AL57" s="29"/>
      <c r="AM57" s="29"/>
      <c r="AN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"/>
      <c r="AL58" s="29"/>
      <c r="AM58" s="29"/>
      <c r="AN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"/>
      <c r="AL59" s="29"/>
      <c r="AM59" s="29"/>
      <c r="AN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"/>
      <c r="AL60" s="29"/>
      <c r="AM60" s="29"/>
      <c r="AN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7"/>
      <c r="AL61" s="29"/>
      <c r="AM61" s="29"/>
      <c r="AN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"/>
      <c r="AL62" s="29"/>
      <c r="AM62" s="29"/>
      <c r="AN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"/>
      <c r="AL63" s="29"/>
      <c r="AM63" s="29"/>
      <c r="AN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"/>
      <c r="AL64" s="29"/>
      <c r="AM64" s="29"/>
      <c r="AN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7"/>
      <c r="AL65" s="29"/>
      <c r="AM65" s="29"/>
      <c r="AN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7"/>
      <c r="AL66" s="29"/>
      <c r="AM66" s="29"/>
      <c r="AN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7"/>
      <c r="AL67" s="29"/>
      <c r="AM67" s="29"/>
      <c r="AN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7"/>
      <c r="AL68" s="29"/>
      <c r="AM68" s="29"/>
      <c r="AN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7"/>
      <c r="AL69" s="29"/>
      <c r="AM69" s="29"/>
      <c r="AN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7"/>
      <c r="AL70" s="29"/>
      <c r="AM70" s="29"/>
      <c r="AN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7"/>
      <c r="AL71" s="29"/>
      <c r="AM71" s="29"/>
      <c r="AN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7"/>
      <c r="AL72" s="29"/>
      <c r="AM72" s="29"/>
      <c r="AN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"/>
      <c r="AL73" s="29"/>
      <c r="AM73" s="29"/>
      <c r="AN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7"/>
      <c r="AL74" s="29"/>
      <c r="AM74" s="29"/>
      <c r="AN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7"/>
      <c r="AL75" s="29"/>
      <c r="AM75" s="29"/>
      <c r="AN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7"/>
      <c r="AL76" s="29"/>
      <c r="AM76" s="29"/>
      <c r="AN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7"/>
      <c r="AL77" s="29"/>
      <c r="AM77" s="29"/>
      <c r="AN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7"/>
      <c r="AL78" s="29"/>
      <c r="AM78" s="29"/>
      <c r="AN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7"/>
      <c r="AL79" s="29"/>
      <c r="AM79" s="29"/>
      <c r="AN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"/>
      <c r="AL80" s="29"/>
      <c r="AM80" s="29"/>
      <c r="AN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"/>
      <c r="AL81" s="29"/>
      <c r="AM81" s="29"/>
      <c r="AN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"/>
      <c r="AL82" s="29"/>
      <c r="AM82" s="29"/>
      <c r="AN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"/>
      <c r="AL83" s="29"/>
      <c r="AM83" s="29"/>
      <c r="AN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"/>
      <c r="AL84" s="29"/>
      <c r="AM84" s="29"/>
      <c r="AN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"/>
      <c r="AL85" s="29"/>
      <c r="AM85" s="29"/>
      <c r="AN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"/>
      <c r="AL86" s="29"/>
      <c r="AM86" s="29"/>
      <c r="AN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"/>
      <c r="AL87" s="29"/>
      <c r="AM87" s="29"/>
      <c r="AN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"/>
      <c r="AL88" s="29"/>
      <c r="AM88" s="29"/>
      <c r="AN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"/>
      <c r="AL89" s="29"/>
      <c r="AM89" s="29"/>
      <c r="AN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"/>
      <c r="AL90" s="29"/>
      <c r="AM90" s="29"/>
      <c r="AN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"/>
      <c r="AL91" s="29"/>
      <c r="AM91" s="29"/>
      <c r="AN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"/>
      <c r="AL92" s="29"/>
      <c r="AM92" s="29"/>
      <c r="AN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"/>
      <c r="AL93" s="29"/>
      <c r="AM93" s="29"/>
      <c r="AN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"/>
      <c r="AL94" s="29"/>
      <c r="AM94" s="29"/>
      <c r="AN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"/>
      <c r="AL95" s="29"/>
      <c r="AM95" s="29"/>
      <c r="AN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"/>
      <c r="AL96" s="29"/>
      <c r="AM96" s="29"/>
      <c r="AN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"/>
      <c r="AL97" s="29"/>
      <c r="AM97" s="29"/>
      <c r="AN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7"/>
      <c r="AL98" s="29"/>
      <c r="AM98" s="29"/>
      <c r="AN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"/>
      <c r="AL99" s="29"/>
      <c r="AM99" s="29"/>
      <c r="AN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7"/>
      <c r="AL100" s="29"/>
      <c r="AM100" s="29"/>
      <c r="AN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7"/>
      <c r="AL101" s="29"/>
      <c r="AM101" s="29"/>
      <c r="AN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/>
      <c r="AL102" s="29"/>
      <c r="AM102" s="29"/>
      <c r="AN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7"/>
      <c r="AL103" s="29"/>
      <c r="AM103" s="29"/>
      <c r="AN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7"/>
      <c r="AL104" s="29"/>
      <c r="AM104" s="29"/>
      <c r="AN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7"/>
      <c r="AL105" s="29"/>
      <c r="AM105" s="29"/>
      <c r="AN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7"/>
      <c r="AL106" s="29"/>
      <c r="AM106" s="29"/>
      <c r="AN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7"/>
      <c r="AL107" s="29"/>
      <c r="AM107" s="29"/>
      <c r="AN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"/>
      <c r="AL108" s="29"/>
      <c r="AM108" s="29"/>
      <c r="AN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7"/>
      <c r="AL109" s="29"/>
      <c r="AM109" s="29"/>
      <c r="AN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7"/>
      <c r="AL110" s="29"/>
      <c r="AM110" s="29"/>
      <c r="AN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7"/>
      <c r="AL111" s="29"/>
      <c r="AM111" s="29"/>
      <c r="AN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7"/>
      <c r="AL112" s="29"/>
      <c r="AM112" s="29"/>
      <c r="AN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7"/>
      <c r="AL113" s="29"/>
      <c r="AM113" s="29"/>
      <c r="AN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7"/>
      <c r="AL114" s="29"/>
      <c r="AM114" s="29"/>
      <c r="AN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"/>
      <c r="AL115" s="29"/>
      <c r="AM115" s="29"/>
      <c r="AN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7"/>
      <c r="AL116" s="29"/>
      <c r="AM116" s="29"/>
      <c r="AN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7"/>
      <c r="AL117" s="29"/>
      <c r="AM117" s="29"/>
      <c r="AN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7"/>
      <c r="AL118" s="29"/>
      <c r="AM118" s="29"/>
      <c r="AN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7"/>
      <c r="AL119" s="29"/>
      <c r="AM119" s="29"/>
      <c r="AN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7"/>
      <c r="AL120" s="29"/>
      <c r="AM120" s="29"/>
      <c r="AN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29"/>
      <c r="AM121" s="29"/>
      <c r="AN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"/>
      <c r="AL122" s="29"/>
      <c r="AM122" s="29"/>
      <c r="AN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"/>
      <c r="AL123" s="29"/>
      <c r="AM123" s="29"/>
      <c r="AN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7"/>
      <c r="AL124" s="29"/>
      <c r="AM124" s="29"/>
      <c r="AN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"/>
      <c r="AL125" s="29"/>
      <c r="AM125" s="29"/>
      <c r="AN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7"/>
      <c r="AL126" s="29"/>
      <c r="AM126" s="29"/>
      <c r="AN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7"/>
      <c r="AL127" s="29"/>
      <c r="AM127" s="29"/>
      <c r="AN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"/>
      <c r="AL128" s="29"/>
      <c r="AM128" s="29"/>
      <c r="AN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29"/>
      <c r="AM129" s="29"/>
      <c r="AN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7"/>
      <c r="AL130" s="29"/>
      <c r="AM130" s="29"/>
      <c r="AN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7"/>
      <c r="AL131" s="29"/>
      <c r="AM131" s="29"/>
      <c r="AN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7"/>
      <c r="AL132" s="29"/>
      <c r="AM132" s="29"/>
      <c r="AN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7"/>
      <c r="AL133" s="29"/>
      <c r="AM133" s="29"/>
      <c r="AN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7"/>
      <c r="AL134" s="29"/>
      <c r="AM134" s="29"/>
      <c r="AN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7"/>
      <c r="AL135" s="29"/>
      <c r="AM135" s="29"/>
      <c r="AN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7"/>
      <c r="AL136" s="29"/>
      <c r="AM136" s="29"/>
      <c r="AN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7"/>
      <c r="AL137" s="29"/>
      <c r="AM137" s="29"/>
      <c r="AN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7"/>
      <c r="AL138" s="29"/>
      <c r="AM138" s="29"/>
      <c r="AN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7"/>
      <c r="AL139" s="29"/>
      <c r="AM139" s="29"/>
      <c r="AN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7"/>
      <c r="AL140" s="29"/>
      <c r="AM140" s="29"/>
      <c r="AN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7"/>
      <c r="AL141" s="29"/>
      <c r="AM141" s="29"/>
      <c r="AN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7"/>
      <c r="AL142" s="29"/>
      <c r="AM142" s="29"/>
      <c r="AN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7"/>
      <c r="AL143" s="29"/>
      <c r="AM143" s="29"/>
      <c r="AN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"/>
      <c r="AL144" s="29"/>
      <c r="AM144" s="29"/>
      <c r="AN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7"/>
      <c r="AL145" s="29"/>
      <c r="AM145" s="29"/>
      <c r="AN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7"/>
      <c r="AL146" s="29"/>
      <c r="AM146" s="29"/>
      <c r="AN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7"/>
      <c r="AL147" s="29"/>
      <c r="AM147" s="29"/>
      <c r="AN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7"/>
      <c r="AL148" s="29"/>
      <c r="AM148" s="29"/>
      <c r="AN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7"/>
      <c r="AL149" s="29"/>
      <c r="AM149" s="29"/>
      <c r="AN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7"/>
      <c r="AL150" s="29"/>
      <c r="AM150" s="29"/>
      <c r="AN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7"/>
      <c r="AL151" s="29"/>
      <c r="AM151" s="29"/>
      <c r="AN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7"/>
      <c r="AL152" s="29"/>
      <c r="AM152" s="29"/>
      <c r="AN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7"/>
      <c r="AL153" s="29"/>
      <c r="AM153" s="29"/>
      <c r="AN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7"/>
      <c r="AL154" s="29"/>
      <c r="AM154" s="29"/>
      <c r="AN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7"/>
      <c r="AL155" s="29"/>
      <c r="AM155" s="29"/>
      <c r="AN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7"/>
      <c r="AL156" s="29"/>
      <c r="AM156" s="29"/>
      <c r="AN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7"/>
      <c r="AL157" s="29"/>
      <c r="AM157" s="29"/>
      <c r="AN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7"/>
      <c r="AL158" s="29"/>
      <c r="AM158" s="29"/>
      <c r="AN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7"/>
      <c r="AL159" s="29"/>
      <c r="AM159" s="29"/>
      <c r="AN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7"/>
      <c r="AL160" s="29"/>
      <c r="AM160" s="29"/>
      <c r="AN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7"/>
      <c r="AL161" s="29"/>
      <c r="AM161" s="29"/>
      <c r="AN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7"/>
      <c r="AL162" s="29"/>
      <c r="AM162" s="29"/>
      <c r="AN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7"/>
      <c r="AL163" s="29"/>
      <c r="AM163" s="29"/>
      <c r="AN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7"/>
      <c r="AL164" s="29"/>
      <c r="AM164" s="29"/>
      <c r="AN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7"/>
      <c r="AL165" s="29"/>
      <c r="AM165" s="29"/>
      <c r="AN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7"/>
      <c r="AL166" s="29"/>
      <c r="AM166" s="29"/>
      <c r="AN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7"/>
      <c r="AL167" s="29"/>
      <c r="AM167" s="29"/>
      <c r="AN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7"/>
      <c r="AL168" s="29"/>
      <c r="AM168" s="29"/>
      <c r="AN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7"/>
      <c r="AL169" s="29"/>
      <c r="AM169" s="29"/>
      <c r="AN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7"/>
      <c r="AL170" s="29"/>
      <c r="AM170" s="29"/>
      <c r="AN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7"/>
      <c r="AL171" s="29"/>
      <c r="AM171" s="29"/>
      <c r="AN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7"/>
      <c r="AL172" s="29"/>
      <c r="AM172" s="29"/>
      <c r="AN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7"/>
      <c r="AL173" s="29"/>
      <c r="AM173" s="29"/>
      <c r="AN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7"/>
      <c r="AL174" s="29"/>
      <c r="AM174" s="29"/>
      <c r="AN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7"/>
      <c r="AL175" s="29"/>
      <c r="AM175" s="29"/>
      <c r="AN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/>
      <c r="AL176" s="29"/>
      <c r="AM176" s="29"/>
      <c r="AN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7"/>
      <c r="AL177" s="29"/>
      <c r="AM177" s="29"/>
      <c r="AN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7"/>
      <c r="AL178" s="29"/>
      <c r="AM178" s="29"/>
      <c r="AN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7"/>
      <c r="AL179" s="29"/>
      <c r="AM179" s="29"/>
      <c r="AN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7"/>
      <c r="AL180" s="29"/>
      <c r="AM180" s="29"/>
      <c r="AN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7"/>
      <c r="AL181" s="29"/>
      <c r="AM181" s="29"/>
      <c r="AN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7"/>
      <c r="AL182" s="29"/>
      <c r="AM182" s="29"/>
      <c r="AN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7"/>
      <c r="AL183" s="29"/>
      <c r="AM183" s="29"/>
      <c r="AN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7"/>
      <c r="AL184" s="29"/>
      <c r="AM184" s="29"/>
      <c r="AN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7"/>
      <c r="AL185" s="29"/>
      <c r="AM185" s="29"/>
      <c r="AN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7"/>
      <c r="AL186" s="29"/>
      <c r="AM186" s="29"/>
      <c r="AN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7"/>
      <c r="AL187" s="29"/>
      <c r="AM187" s="29"/>
      <c r="AN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7"/>
      <c r="AL188" s="29"/>
      <c r="AM188" s="29"/>
      <c r="AN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7"/>
      <c r="AL189" s="29"/>
      <c r="AM189" s="29"/>
      <c r="AN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7"/>
      <c r="AL190" s="29"/>
      <c r="AM190" s="29"/>
      <c r="AN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7"/>
      <c r="AL191" s="29"/>
      <c r="AM191" s="29"/>
      <c r="AN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7"/>
      <c r="AL192" s="29"/>
      <c r="AM192" s="29"/>
      <c r="AN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7"/>
      <c r="AL193" s="29"/>
      <c r="AM193" s="29"/>
      <c r="AN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7"/>
      <c r="AL194" s="29"/>
      <c r="AM194" s="29"/>
      <c r="AN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7"/>
      <c r="AL195" s="29"/>
      <c r="AM195" s="29"/>
      <c r="AN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7"/>
      <c r="AL196" s="29"/>
      <c r="AM196" s="29"/>
      <c r="AN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7"/>
      <c r="AL197" s="29"/>
      <c r="AM197" s="29"/>
      <c r="AN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7"/>
      <c r="AL198" s="29"/>
      <c r="AM198" s="29"/>
      <c r="AN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7"/>
      <c r="AL199" s="29"/>
      <c r="AM199" s="29"/>
      <c r="AN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7"/>
      <c r="AL200" s="29"/>
      <c r="AM200" s="29"/>
      <c r="AN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7"/>
      <c r="AL201" s="29"/>
      <c r="AM201" s="29"/>
      <c r="AN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7"/>
      <c r="AL202" s="29"/>
      <c r="AM202" s="29"/>
      <c r="AN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7"/>
      <c r="AL203" s="29"/>
      <c r="AM203" s="29"/>
      <c r="AN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7"/>
      <c r="AL204" s="29"/>
      <c r="AM204" s="29"/>
      <c r="AN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7"/>
      <c r="AL205" s="29"/>
      <c r="AM205" s="29"/>
      <c r="AN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7"/>
      <c r="AL206" s="29"/>
      <c r="AM206" s="29"/>
      <c r="AN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7"/>
      <c r="AL207" s="29"/>
      <c r="AM207" s="29"/>
      <c r="AN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7"/>
      <c r="AL208" s="29"/>
      <c r="AM208" s="29"/>
      <c r="AN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7"/>
      <c r="AL209" s="29"/>
      <c r="AM209" s="29"/>
      <c r="AN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7"/>
      <c r="AL210" s="29"/>
      <c r="AM210" s="29"/>
      <c r="AN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7"/>
      <c r="AL211" s="29"/>
      <c r="AM211" s="29"/>
      <c r="AN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7"/>
      <c r="AL212" s="29"/>
      <c r="AM212" s="29"/>
      <c r="AN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7"/>
      <c r="AL213" s="29"/>
      <c r="AM213" s="29"/>
      <c r="AN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7"/>
      <c r="AL214" s="29"/>
      <c r="AM214" s="29"/>
      <c r="AN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7"/>
      <c r="AL215" s="29"/>
      <c r="AM215" s="29"/>
      <c r="AN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7"/>
      <c r="AL216" s="29"/>
      <c r="AM216" s="29"/>
      <c r="AN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7"/>
      <c r="AL217" s="29"/>
      <c r="AM217" s="29"/>
      <c r="AN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7"/>
      <c r="AL218" s="29"/>
      <c r="AM218" s="29"/>
      <c r="AN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7"/>
      <c r="AL219" s="29"/>
      <c r="AM219" s="29"/>
      <c r="AN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7"/>
      <c r="AL220" s="29"/>
      <c r="AM220" s="29"/>
      <c r="AN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7"/>
      <c r="AL221" s="29"/>
      <c r="AM221" s="29"/>
      <c r="AN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7"/>
      <c r="AL222" s="29"/>
      <c r="AM222" s="29"/>
      <c r="AN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7"/>
      <c r="AL223" s="29"/>
      <c r="AM223" s="29"/>
      <c r="AN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7"/>
      <c r="AL224" s="29"/>
      <c r="AM224" s="29"/>
      <c r="AN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7"/>
      <c r="AL225" s="29"/>
      <c r="AM225" s="29"/>
      <c r="AN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7"/>
      <c r="AL226" s="29"/>
      <c r="AM226" s="29"/>
      <c r="AN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7"/>
      <c r="AL227" s="29"/>
      <c r="AM227" s="29"/>
      <c r="AN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7"/>
      <c r="AL228" s="29"/>
      <c r="AM228" s="29"/>
      <c r="AN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7"/>
      <c r="AL229" s="29"/>
      <c r="AM229" s="29"/>
      <c r="AN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7"/>
      <c r="AL230" s="29"/>
      <c r="AM230" s="29"/>
      <c r="AN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7"/>
      <c r="AL231" s="29"/>
      <c r="AM231" s="29"/>
      <c r="AN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7"/>
      <c r="AL232" s="29"/>
      <c r="AM232" s="29"/>
      <c r="AN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7"/>
      <c r="AL233" s="29"/>
      <c r="AM233" s="29"/>
      <c r="AN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7"/>
      <c r="AL234" s="29"/>
      <c r="AM234" s="29"/>
      <c r="AN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7"/>
      <c r="AL235" s="29"/>
      <c r="AM235" s="29"/>
      <c r="AN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</row>
  </sheetData>
  <autoFilter ref="$A$3:$AK$3">
    <sortState ref="A3:AK3">
      <sortCondition ref="A3"/>
    </sortState>
  </autoFilter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44.86"/>
    <col customWidth="1" min="5" max="5" width="12.43"/>
    <col customWidth="1" min="6" max="7" width="11.14"/>
    <col customWidth="1" min="8" max="8" width="15.43"/>
    <col customWidth="1" min="9" max="9" width="16.14"/>
    <col customWidth="1" min="10" max="10" width="13.57"/>
    <col customWidth="1" min="11" max="11" width="16.86"/>
    <col customWidth="1" hidden="1" min="12" max="12" width="14.57"/>
    <col customWidth="1" min="13" max="13" width="13.71"/>
    <col customWidth="1" hidden="1" min="14" max="16" width="13.71"/>
    <col customWidth="1" min="17" max="17" width="13.71"/>
    <col customWidth="1" hidden="1" min="18" max="18" width="14.0"/>
    <col customWidth="1" min="19" max="19" width="17.43"/>
    <col customWidth="1" min="20" max="20" width="10.43"/>
    <col customWidth="1" min="21" max="21" width="15.71"/>
    <col customWidth="1" min="22" max="22" width="14.0"/>
    <col customWidth="1" min="23" max="23" width="11.86"/>
    <col customWidth="1" min="24" max="24" width="13.29"/>
    <col customWidth="1" min="25" max="25" width="14.0"/>
    <col customWidth="1" min="26" max="26" width="17.0"/>
    <col customWidth="1" min="27" max="27" width="11.71"/>
    <col customWidth="1" min="28" max="28" width="14.14"/>
    <col customWidth="1" min="29" max="29" width="17.43"/>
    <col customWidth="1" min="30" max="30" width="11.71"/>
    <col customWidth="1" min="31" max="32" width="14.0"/>
    <col customWidth="1" min="33" max="33" width="17.43"/>
    <col customWidth="1" min="34" max="34" width="37.57"/>
    <col customWidth="1" min="35" max="36" width="17.43"/>
    <col customWidth="1" min="37" max="37" width="23.57"/>
    <col customWidth="1" min="38" max="38" width="3.14"/>
    <col customWidth="1" min="39" max="39" width="10.29"/>
    <col customWidth="1" min="40" max="40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5"/>
      <c r="Z1" s="5"/>
      <c r="AA1" s="5"/>
      <c r="AB1" s="5"/>
      <c r="AC1" s="5"/>
      <c r="AD1" s="5"/>
      <c r="AE1" s="6"/>
      <c r="AF1" s="5"/>
      <c r="AG1" s="5"/>
      <c r="AH1" s="4" t="s">
        <v>1</v>
      </c>
      <c r="AI1" s="4"/>
      <c r="AJ1" s="4"/>
      <c r="AK1" s="7"/>
      <c r="AL1" s="8"/>
      <c r="AM1" s="8" t="s">
        <v>2</v>
      </c>
      <c r="AN1" s="9">
        <v>45672.0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16" t="s">
        <v>111</v>
      </c>
      <c r="W2" s="10"/>
      <c r="X2" s="15"/>
      <c r="Y2" s="16"/>
      <c r="Z2" s="17"/>
      <c r="AA2" s="16"/>
      <c r="AB2" s="16"/>
      <c r="AC2" s="16"/>
      <c r="AD2" s="16"/>
      <c r="AE2" s="14" t="s">
        <v>6</v>
      </c>
      <c r="AF2" s="16"/>
      <c r="AG2" s="16"/>
      <c r="AH2" s="15"/>
      <c r="AI2" s="15"/>
      <c r="AJ2" s="15"/>
      <c r="AK2" s="7"/>
      <c r="AL2" s="8"/>
      <c r="AM2" s="8"/>
      <c r="AN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25" t="s">
        <v>29</v>
      </c>
      <c r="X3" s="27" t="s">
        <v>30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19" t="s">
        <v>35</v>
      </c>
      <c r="AF3" s="19" t="s">
        <v>36</v>
      </c>
      <c r="AG3" s="19" t="s">
        <v>37</v>
      </c>
      <c r="AH3" s="28" t="s">
        <v>38</v>
      </c>
      <c r="AI3" s="28" t="s">
        <v>39</v>
      </c>
      <c r="AJ3" s="28" t="s">
        <v>40</v>
      </c>
      <c r="AK3" s="19" t="s">
        <v>41</v>
      </c>
      <c r="AL3" s="29"/>
      <c r="AM3" s="29"/>
      <c r="AN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DATEDIF(H4,$AN$1,"y")</f>
        <v>6</v>
      </c>
      <c r="J4" s="36" t="s">
        <v>48</v>
      </c>
      <c r="K4" s="38">
        <v>44528.0</v>
      </c>
      <c r="L4" s="39">
        <v>2021.0</v>
      </c>
      <c r="M4" s="4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47" t="s">
        <v>49</v>
      </c>
      <c r="W4" s="48">
        <v>44658.0</v>
      </c>
      <c r="X4" s="50">
        <v>1530000.0</v>
      </c>
      <c r="Y4" s="51">
        <f t="shared" ref="Y4:Y8" si="6">P4-AF4</f>
        <v>65</v>
      </c>
      <c r="Z4" s="50">
        <v>10342.0</v>
      </c>
      <c r="AA4" s="52">
        <f t="shared" ref="AA4:AA9" si="7">Y4/Z4</f>
        <v>0.006285051247</v>
      </c>
      <c r="AB4" s="53">
        <f t="shared" ref="AB4:AB9" si="8">Z4*X4/100000000</f>
        <v>158.2326</v>
      </c>
      <c r="AC4" s="54">
        <f t="shared" ref="AC4:AC9" si="9">X4*Y4</f>
        <v>99450000</v>
      </c>
      <c r="AD4" s="55">
        <f t="shared" ref="AD4:AD19" si="10">AC4/S4</f>
        <v>1</v>
      </c>
      <c r="AE4" s="56"/>
      <c r="AF4" s="51"/>
      <c r="AG4" s="54">
        <f t="shared" ref="AG4:AG8" si="11">AE4*AF4</f>
        <v>0</v>
      </c>
      <c r="AH4" s="122" t="s">
        <v>112</v>
      </c>
      <c r="AI4" s="57" t="s">
        <v>51</v>
      </c>
      <c r="AJ4" s="57" t="s">
        <v>51</v>
      </c>
      <c r="AK4" s="58"/>
      <c r="AL4" s="59"/>
      <c r="AM4" s="29"/>
      <c r="AN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4</v>
      </c>
      <c r="J5" s="36" t="s">
        <v>48</v>
      </c>
      <c r="K5" s="38">
        <v>44498.0</v>
      </c>
      <c r="L5" s="39">
        <v>2021.0</v>
      </c>
      <c r="M5" s="60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61" t="s">
        <v>57</v>
      </c>
      <c r="W5" s="48">
        <v>45644.0</v>
      </c>
      <c r="X5" s="50">
        <v>184960.0</v>
      </c>
      <c r="Y5" s="51">
        <f t="shared" si="6"/>
        <v>5500</v>
      </c>
      <c r="Z5" s="50">
        <v>204246.0</v>
      </c>
      <c r="AA5" s="52">
        <f t="shared" si="7"/>
        <v>0.02692831194</v>
      </c>
      <c r="AB5" s="53">
        <f t="shared" si="8"/>
        <v>377.7734016</v>
      </c>
      <c r="AC5" s="54">
        <f t="shared" si="9"/>
        <v>1017280000</v>
      </c>
      <c r="AD5" s="55">
        <f t="shared" si="10"/>
        <v>9.997837838</v>
      </c>
      <c r="AE5" s="56"/>
      <c r="AF5" s="51"/>
      <c r="AG5" s="54">
        <f t="shared" si="11"/>
        <v>0</v>
      </c>
      <c r="AH5" s="57"/>
      <c r="AI5" s="57"/>
      <c r="AJ5" s="57"/>
      <c r="AK5" s="58" t="s">
        <v>58</v>
      </c>
      <c r="AL5" s="29"/>
      <c r="AM5" s="29"/>
      <c r="AN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4</v>
      </c>
      <c r="J6" s="36" t="s">
        <v>48</v>
      </c>
      <c r="K6" s="38">
        <v>44671.0</v>
      </c>
      <c r="L6" s="39">
        <v>2022.0</v>
      </c>
      <c r="M6" s="60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61" t="s">
        <v>57</v>
      </c>
      <c r="W6" s="48">
        <v>45644.0</v>
      </c>
      <c r="X6" s="50">
        <v>184960.0</v>
      </c>
      <c r="Y6" s="51">
        <f t="shared" si="6"/>
        <v>4766</v>
      </c>
      <c r="Z6" s="50">
        <v>204246.0</v>
      </c>
      <c r="AA6" s="52">
        <f t="shared" si="7"/>
        <v>0.02333460631</v>
      </c>
      <c r="AB6" s="53">
        <f t="shared" si="8"/>
        <v>377.7734016</v>
      </c>
      <c r="AC6" s="54">
        <f t="shared" si="9"/>
        <v>881519360</v>
      </c>
      <c r="AD6" s="55">
        <f t="shared" si="10"/>
        <v>2.93890522</v>
      </c>
      <c r="AE6" s="56"/>
      <c r="AF6" s="51"/>
      <c r="AG6" s="54">
        <f t="shared" si="11"/>
        <v>0</v>
      </c>
      <c r="AH6" s="57"/>
      <c r="AI6" s="57"/>
      <c r="AJ6" s="57"/>
      <c r="AK6" s="58" t="s">
        <v>58</v>
      </c>
      <c r="AL6" s="29"/>
      <c r="AM6" s="29"/>
      <c r="AN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4</v>
      </c>
      <c r="J7" s="36" t="s">
        <v>48</v>
      </c>
      <c r="K7" s="38">
        <v>44491.0</v>
      </c>
      <c r="L7" s="39">
        <v>2021.0</v>
      </c>
      <c r="M7" s="60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2">R7*P7</f>
        <v>99989070</v>
      </c>
      <c r="T7" s="45">
        <f t="shared" si="4"/>
        <v>0.05262697635</v>
      </c>
      <c r="U7" s="46">
        <f t="shared" si="5"/>
        <v>18.9995848</v>
      </c>
      <c r="V7" s="61" t="s">
        <v>62</v>
      </c>
      <c r="W7" s="48" t="s">
        <v>108</v>
      </c>
      <c r="X7" s="50">
        <v>235000.0</v>
      </c>
      <c r="Y7" s="51">
        <f t="shared" si="6"/>
        <v>3009</v>
      </c>
      <c r="Z7" s="77">
        <v>90637.0</v>
      </c>
      <c r="AA7" s="52">
        <f t="shared" si="7"/>
        <v>0.0331983627</v>
      </c>
      <c r="AB7" s="53">
        <f t="shared" si="8"/>
        <v>212.99695</v>
      </c>
      <c r="AC7" s="54">
        <f t="shared" si="9"/>
        <v>707115000</v>
      </c>
      <c r="AD7" s="55">
        <f t="shared" si="10"/>
        <v>7.071922961</v>
      </c>
      <c r="AE7" s="56"/>
      <c r="AF7" s="51"/>
      <c r="AG7" s="54">
        <f t="shared" si="11"/>
        <v>0</v>
      </c>
      <c r="AH7" s="57"/>
      <c r="AI7" s="57"/>
      <c r="AJ7" s="57"/>
      <c r="AK7" s="58" t="s">
        <v>58</v>
      </c>
      <c r="AL7" s="29"/>
      <c r="AM7" s="29"/>
      <c r="AN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4</v>
      </c>
      <c r="J8" s="36" t="s">
        <v>48</v>
      </c>
      <c r="K8" s="38">
        <v>44932.0</v>
      </c>
      <c r="L8" s="39">
        <v>2023.0</v>
      </c>
      <c r="M8" s="117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2"/>
        <v>99947890</v>
      </c>
      <c r="T8" s="45">
        <f t="shared" si="4"/>
        <v>0.004422501106</v>
      </c>
      <c r="U8" s="46">
        <f t="shared" si="5"/>
        <v>225.9985642</v>
      </c>
      <c r="V8" s="61" t="s">
        <v>66</v>
      </c>
      <c r="W8" s="48">
        <v>45563.0</v>
      </c>
      <c r="X8" s="50">
        <v>190520.0</v>
      </c>
      <c r="Y8" s="51">
        <f t="shared" si="6"/>
        <v>610</v>
      </c>
      <c r="Z8" s="118">
        <v>166385.0</v>
      </c>
      <c r="AA8" s="52">
        <f t="shared" si="7"/>
        <v>0.003666195871</v>
      </c>
      <c r="AB8" s="53">
        <f t="shared" si="8"/>
        <v>316.996702</v>
      </c>
      <c r="AC8" s="54">
        <f t="shared" si="9"/>
        <v>116217200</v>
      </c>
      <c r="AD8" s="55">
        <f t="shared" si="10"/>
        <v>1.162777924</v>
      </c>
      <c r="AE8" s="56"/>
      <c r="AF8" s="51"/>
      <c r="AG8" s="54">
        <f t="shared" si="11"/>
        <v>0</v>
      </c>
      <c r="AH8" s="57"/>
      <c r="AI8" s="57"/>
      <c r="AJ8" s="57"/>
      <c r="AK8" s="58"/>
      <c r="AL8" s="29"/>
      <c r="AM8" s="29"/>
      <c r="AN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4</v>
      </c>
      <c r="J9" s="36" t="s">
        <v>48</v>
      </c>
      <c r="K9" s="38">
        <v>45562.0</v>
      </c>
      <c r="L9" s="39">
        <v>2024.0</v>
      </c>
      <c r="M9" s="117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2"/>
        <v>200046000</v>
      </c>
      <c r="T9" s="45">
        <f t="shared" si="4"/>
        <v>0.006310665024</v>
      </c>
      <c r="U9" s="46">
        <f t="shared" si="5"/>
        <v>316.996702</v>
      </c>
      <c r="V9" s="61" t="s">
        <v>66</v>
      </c>
      <c r="W9" s="48">
        <v>45563.0</v>
      </c>
      <c r="X9" s="50">
        <v>190520.0</v>
      </c>
      <c r="Y9" s="51">
        <v>1050.0</v>
      </c>
      <c r="Z9" s="118">
        <v>166385.0</v>
      </c>
      <c r="AA9" s="52">
        <f t="shared" si="7"/>
        <v>0.006310665024</v>
      </c>
      <c r="AB9" s="53">
        <f t="shared" si="8"/>
        <v>316.996702</v>
      </c>
      <c r="AC9" s="54">
        <f t="shared" si="9"/>
        <v>200046000</v>
      </c>
      <c r="AD9" s="55">
        <f t="shared" si="10"/>
        <v>1</v>
      </c>
      <c r="AE9" s="68"/>
      <c r="AF9" s="51"/>
      <c r="AG9" s="54">
        <v>0.0</v>
      </c>
      <c r="AH9" s="57"/>
      <c r="AI9" s="57"/>
      <c r="AJ9" s="57"/>
      <c r="AK9" s="58"/>
      <c r="AL9" s="29"/>
      <c r="AM9" s="29"/>
      <c r="AN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4</v>
      </c>
      <c r="J10" s="36" t="s">
        <v>48</v>
      </c>
      <c r="K10" s="38">
        <v>44886.0</v>
      </c>
      <c r="L10" s="39">
        <v>2022.0</v>
      </c>
      <c r="M10" s="117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3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61" t="s">
        <v>55</v>
      </c>
      <c r="W10" s="64">
        <v>44944.0</v>
      </c>
      <c r="X10" s="50">
        <v>1.0E8</v>
      </c>
      <c r="Y10" s="51" t="s">
        <v>72</v>
      </c>
      <c r="Z10" s="71">
        <f t="shared" ref="Z10:Z11" si="14">Q10</f>
        <v>7356025</v>
      </c>
      <c r="AA10" s="52"/>
      <c r="AB10" s="72" t="s">
        <v>73</v>
      </c>
      <c r="AC10" s="50">
        <v>1.0E8</v>
      </c>
      <c r="AD10" s="55">
        <f t="shared" si="10"/>
        <v>1</v>
      </c>
      <c r="AE10" s="68"/>
      <c r="AF10" s="51"/>
      <c r="AG10" s="54"/>
      <c r="AH10" s="57"/>
      <c r="AI10" s="57"/>
      <c r="AJ10" s="57"/>
      <c r="AK10" s="58"/>
      <c r="AL10" s="29"/>
      <c r="AM10" s="29"/>
      <c r="AN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4</v>
      </c>
      <c r="J11" s="36" t="s">
        <v>48</v>
      </c>
      <c r="K11" s="38">
        <v>44944.0</v>
      </c>
      <c r="L11" s="39">
        <v>2023.0</v>
      </c>
      <c r="M11" s="117" t="s">
        <v>55</v>
      </c>
      <c r="N11" s="41" t="s">
        <v>71</v>
      </c>
      <c r="O11" s="69">
        <v>7356025.0</v>
      </c>
      <c r="P11" s="43" t="s">
        <v>72</v>
      </c>
      <c r="Q11" s="44">
        <f t="shared" si="13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61" t="s">
        <v>55</v>
      </c>
      <c r="W11" s="64">
        <v>44944.0</v>
      </c>
      <c r="X11" s="50">
        <v>2.0E8</v>
      </c>
      <c r="Y11" s="51" t="s">
        <v>72</v>
      </c>
      <c r="Z11" s="71">
        <f t="shared" si="14"/>
        <v>7356025</v>
      </c>
      <c r="AA11" s="52"/>
      <c r="AB11" s="72" t="s">
        <v>73</v>
      </c>
      <c r="AC11" s="50">
        <v>2.0E8</v>
      </c>
      <c r="AD11" s="55">
        <f t="shared" si="10"/>
        <v>1</v>
      </c>
      <c r="AE11" s="68"/>
      <c r="AF11" s="51"/>
      <c r="AG11" s="54"/>
      <c r="AH11" s="57"/>
      <c r="AI11" s="57"/>
      <c r="AJ11" s="57"/>
      <c r="AK11" s="58"/>
      <c r="AL11" s="29"/>
      <c r="AM11" s="29"/>
      <c r="AN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7</v>
      </c>
      <c r="J12" s="36" t="s">
        <v>48</v>
      </c>
      <c r="K12" s="38">
        <v>44715.0</v>
      </c>
      <c r="L12" s="39">
        <v>2022.0</v>
      </c>
      <c r="M12" s="117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5">O12+P12</f>
        <v>586190</v>
      </c>
      <c r="R12" s="43">
        <v>32243.0</v>
      </c>
      <c r="S12" s="44">
        <f t="shared" ref="S12:S14" si="16">R12*P12</f>
        <v>99985543</v>
      </c>
      <c r="T12" s="45">
        <f t="shared" ref="T12:T14" si="17">P12/Q12</f>
        <v>0.005290093656</v>
      </c>
      <c r="U12" s="46">
        <f t="shared" ref="U12:U14" si="18">Q12*R12/100000000</f>
        <v>189.0052417</v>
      </c>
      <c r="V12" s="61" t="s">
        <v>62</v>
      </c>
      <c r="W12" s="48">
        <v>45317.0</v>
      </c>
      <c r="X12" s="50">
        <v>34155.0</v>
      </c>
      <c r="Y12" s="51">
        <f t="shared" ref="Y12:Y14" si="19">P12-AF12</f>
        <v>3101</v>
      </c>
      <c r="Z12" s="50">
        <v>661696.0</v>
      </c>
      <c r="AA12" s="52">
        <f t="shared" ref="AA12:AA14" si="20">Y12/Z12</f>
        <v>0.004686442112</v>
      </c>
      <c r="AB12" s="53">
        <f t="shared" ref="AB12:AB14" si="21">Z12*X12/100000000</f>
        <v>226.0022688</v>
      </c>
      <c r="AC12" s="54">
        <f t="shared" ref="AC12:AC14" si="22">X12*Y12</f>
        <v>105914655</v>
      </c>
      <c r="AD12" s="55">
        <f t="shared" si="10"/>
        <v>1.059299693</v>
      </c>
      <c r="AE12" s="56"/>
      <c r="AF12" s="51"/>
      <c r="AG12" s="54">
        <f t="shared" ref="AG12:AG14" si="23">AE12*AF12</f>
        <v>0</v>
      </c>
      <c r="AH12" s="57"/>
      <c r="AI12" s="57"/>
      <c r="AJ12" s="57"/>
      <c r="AK12" s="58"/>
      <c r="AL12" s="29"/>
      <c r="AM12" s="29"/>
      <c r="AN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7</v>
      </c>
      <c r="J13" s="36" t="s">
        <v>48</v>
      </c>
      <c r="K13" s="38">
        <v>44936.0</v>
      </c>
      <c r="L13" s="39">
        <v>2023.0</v>
      </c>
      <c r="M13" s="117" t="s">
        <v>62</v>
      </c>
      <c r="N13" s="33" t="s">
        <v>56</v>
      </c>
      <c r="O13" s="66">
        <v>583089.0</v>
      </c>
      <c r="P13" s="43">
        <v>2482.0</v>
      </c>
      <c r="Q13" s="44">
        <f t="shared" si="15"/>
        <v>585571</v>
      </c>
      <c r="R13" s="43">
        <v>40304.0</v>
      </c>
      <c r="S13" s="44">
        <f t="shared" si="16"/>
        <v>100034528</v>
      </c>
      <c r="T13" s="45">
        <f t="shared" si="17"/>
        <v>0.004238597881</v>
      </c>
      <c r="U13" s="46">
        <f t="shared" si="18"/>
        <v>236.0085358</v>
      </c>
      <c r="V13" s="61" t="s">
        <v>62</v>
      </c>
      <c r="W13" s="48">
        <v>45317.0</v>
      </c>
      <c r="X13" s="50">
        <v>34155.0</v>
      </c>
      <c r="Y13" s="51">
        <f t="shared" si="19"/>
        <v>2482</v>
      </c>
      <c r="Z13" s="50">
        <v>661696.0</v>
      </c>
      <c r="AA13" s="52">
        <f t="shared" si="20"/>
        <v>0.003750967212</v>
      </c>
      <c r="AB13" s="53">
        <f t="shared" si="21"/>
        <v>226.0022688</v>
      </c>
      <c r="AC13" s="54">
        <f t="shared" si="22"/>
        <v>84772710</v>
      </c>
      <c r="AD13" s="55">
        <f t="shared" si="10"/>
        <v>0.8474344978</v>
      </c>
      <c r="AE13" s="56"/>
      <c r="AF13" s="51"/>
      <c r="AG13" s="54">
        <f t="shared" si="23"/>
        <v>0</v>
      </c>
      <c r="AH13" s="57"/>
      <c r="AI13" s="57"/>
      <c r="AJ13" s="57"/>
      <c r="AK13" s="58"/>
      <c r="AL13" s="29"/>
      <c r="AM13" s="29"/>
      <c r="AN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5</v>
      </c>
      <c r="J14" s="36" t="s">
        <v>48</v>
      </c>
      <c r="K14" s="38">
        <v>44683.0</v>
      </c>
      <c r="L14" s="39">
        <v>2022.0</v>
      </c>
      <c r="M14" s="117" t="s">
        <v>55</v>
      </c>
      <c r="N14" s="41" t="s">
        <v>56</v>
      </c>
      <c r="O14" s="42">
        <v>100000.0</v>
      </c>
      <c r="P14" s="43">
        <v>3705.0</v>
      </c>
      <c r="Q14" s="44">
        <f t="shared" si="15"/>
        <v>103705</v>
      </c>
      <c r="R14" s="43">
        <v>27000.0</v>
      </c>
      <c r="S14" s="44">
        <f t="shared" si="16"/>
        <v>100035000</v>
      </c>
      <c r="T14" s="45">
        <f t="shared" si="17"/>
        <v>0.03572633914</v>
      </c>
      <c r="U14" s="46">
        <f t="shared" si="18"/>
        <v>28.00035</v>
      </c>
      <c r="V14" s="61" t="s">
        <v>54</v>
      </c>
      <c r="W14" s="48">
        <v>44684.0</v>
      </c>
      <c r="X14" s="50">
        <v>27000.0</v>
      </c>
      <c r="Y14" s="51">
        <f t="shared" si="19"/>
        <v>3705</v>
      </c>
      <c r="Z14" s="50">
        <v>103705.0</v>
      </c>
      <c r="AA14" s="52">
        <f t="shared" si="20"/>
        <v>0.03572633914</v>
      </c>
      <c r="AB14" s="53">
        <f t="shared" si="21"/>
        <v>28.00035</v>
      </c>
      <c r="AC14" s="54">
        <f t="shared" si="22"/>
        <v>100035000</v>
      </c>
      <c r="AD14" s="55">
        <f t="shared" si="10"/>
        <v>1</v>
      </c>
      <c r="AE14" s="68"/>
      <c r="AF14" s="51"/>
      <c r="AG14" s="54">
        <f t="shared" si="23"/>
        <v>0</v>
      </c>
      <c r="AH14" s="57"/>
      <c r="AI14" s="57"/>
      <c r="AJ14" s="57"/>
      <c r="AK14" s="58"/>
      <c r="AL14" s="29"/>
      <c r="AM14" s="29"/>
      <c r="AN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3</v>
      </c>
      <c r="J15" s="36" t="s">
        <v>48</v>
      </c>
      <c r="K15" s="38">
        <v>44694.0</v>
      </c>
      <c r="L15" s="39">
        <v>2022.0</v>
      </c>
      <c r="M15" s="117" t="s">
        <v>55</v>
      </c>
      <c r="N15" s="41" t="s">
        <v>71</v>
      </c>
      <c r="O15" s="69">
        <v>6677.0</v>
      </c>
      <c r="P15" s="43" t="s">
        <v>72</v>
      </c>
      <c r="Q15" s="44">
        <f>O15</f>
        <v>6677</v>
      </c>
      <c r="R15" s="43">
        <v>1.0E8</v>
      </c>
      <c r="S15" s="43">
        <v>1.0E8</v>
      </c>
      <c r="T15" s="45" t="s">
        <v>72</v>
      </c>
      <c r="U15" s="69" t="s">
        <v>84</v>
      </c>
      <c r="V15" s="75" t="s">
        <v>55</v>
      </c>
      <c r="W15" s="48" t="s">
        <v>54</v>
      </c>
      <c r="X15" s="50">
        <v>1.0E8</v>
      </c>
      <c r="Y15" s="51" t="s">
        <v>72</v>
      </c>
      <c r="Z15" s="71">
        <f>Q15</f>
        <v>6677</v>
      </c>
      <c r="AA15" s="52"/>
      <c r="AB15" s="76" t="s">
        <v>84</v>
      </c>
      <c r="AC15" s="50">
        <v>1.0E8</v>
      </c>
      <c r="AD15" s="55">
        <f t="shared" si="10"/>
        <v>1</v>
      </c>
      <c r="AE15" s="56"/>
      <c r="AF15" s="51"/>
      <c r="AG15" s="54"/>
      <c r="AH15" s="57"/>
      <c r="AI15" s="57"/>
      <c r="AJ15" s="57"/>
      <c r="AK15" s="58" t="s">
        <v>85</v>
      </c>
      <c r="AL15" s="29"/>
      <c r="AM15" s="29"/>
      <c r="AN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6</v>
      </c>
      <c r="J16" s="36" t="s">
        <v>48</v>
      </c>
      <c r="K16" s="38">
        <v>45107.0</v>
      </c>
      <c r="L16" s="39">
        <v>2023.0</v>
      </c>
      <c r="M16" s="117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4">O16+P16</f>
        <v>28099</v>
      </c>
      <c r="R16" s="43">
        <v>722470.0</v>
      </c>
      <c r="S16" s="44">
        <f t="shared" ref="S16:S19" si="25">R16*P16</f>
        <v>300547520</v>
      </c>
      <c r="T16" s="45">
        <f t="shared" ref="T16:T19" si="26">P16/Q16</f>
        <v>0.01480479732</v>
      </c>
      <c r="U16" s="46">
        <f t="shared" ref="U16:U19" si="27">Q16*R16/100000000</f>
        <v>203.0068453</v>
      </c>
      <c r="V16" s="61" t="s">
        <v>57</v>
      </c>
      <c r="W16" s="64">
        <v>45597.0</v>
      </c>
      <c r="X16" s="50">
        <v>327150.0</v>
      </c>
      <c r="Y16" s="51">
        <f t="shared" ref="Y16:Y19" si="28">P16-AF16</f>
        <v>416</v>
      </c>
      <c r="Z16" s="50">
        <v>30568.0</v>
      </c>
      <c r="AA16" s="52">
        <f t="shared" ref="AA16:AA19" si="29">Y16/Z16</f>
        <v>0.01360900288</v>
      </c>
      <c r="AB16" s="53">
        <f t="shared" ref="AB16:AB19" si="30">Z16*X16/100000000</f>
        <v>100.003212</v>
      </c>
      <c r="AC16" s="54">
        <f t="shared" ref="AC16:AC19" si="31">X16*Y16</f>
        <v>136094400</v>
      </c>
      <c r="AD16" s="55">
        <f t="shared" si="10"/>
        <v>0.4528215704</v>
      </c>
      <c r="AE16" s="56"/>
      <c r="AF16" s="51"/>
      <c r="AG16" s="54">
        <f>AE16*AF16</f>
        <v>0</v>
      </c>
      <c r="AH16" s="57" t="s">
        <v>88</v>
      </c>
      <c r="AI16" s="57" t="s">
        <v>89</v>
      </c>
      <c r="AJ16" s="57" t="s">
        <v>90</v>
      </c>
      <c r="AK16" s="58" t="s">
        <v>91</v>
      </c>
      <c r="AL16" s="29"/>
      <c r="AM16" s="29"/>
      <c r="AN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6</v>
      </c>
      <c r="J17" s="36" t="s">
        <v>48</v>
      </c>
      <c r="K17" s="38">
        <v>45254.0</v>
      </c>
      <c r="L17" s="39">
        <v>2023.0</v>
      </c>
      <c r="M17" s="117" t="s">
        <v>57</v>
      </c>
      <c r="N17" s="41" t="s">
        <v>56</v>
      </c>
      <c r="O17" s="42">
        <v>28099.0</v>
      </c>
      <c r="P17" s="43">
        <v>139.0</v>
      </c>
      <c r="Q17" s="44">
        <f t="shared" si="24"/>
        <v>28238</v>
      </c>
      <c r="R17" s="43">
        <v>722470.0</v>
      </c>
      <c r="S17" s="44">
        <f t="shared" si="25"/>
        <v>100423330</v>
      </c>
      <c r="T17" s="45">
        <f t="shared" si="26"/>
        <v>0.004922444932</v>
      </c>
      <c r="U17" s="46">
        <f t="shared" si="27"/>
        <v>204.0110786</v>
      </c>
      <c r="V17" s="61" t="s">
        <v>57</v>
      </c>
      <c r="W17" s="64">
        <v>45597.0</v>
      </c>
      <c r="X17" s="50">
        <v>327150.0</v>
      </c>
      <c r="Y17" s="51">
        <f t="shared" si="28"/>
        <v>139</v>
      </c>
      <c r="Z17" s="50">
        <v>30568.0</v>
      </c>
      <c r="AA17" s="52">
        <f t="shared" si="29"/>
        <v>0.004547238943</v>
      </c>
      <c r="AB17" s="53">
        <f t="shared" si="30"/>
        <v>100.003212</v>
      </c>
      <c r="AC17" s="54">
        <f t="shared" si="31"/>
        <v>45473850</v>
      </c>
      <c r="AD17" s="55">
        <f t="shared" si="10"/>
        <v>0.4528215704</v>
      </c>
      <c r="AE17" s="56"/>
      <c r="AF17" s="51"/>
      <c r="AG17" s="54">
        <v>0.0</v>
      </c>
      <c r="AH17" s="57"/>
      <c r="AI17" s="57"/>
      <c r="AJ17" s="57"/>
      <c r="AK17" s="58" t="s">
        <v>91</v>
      </c>
      <c r="AL17" s="29"/>
      <c r="AM17" s="29"/>
      <c r="AN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4</v>
      </c>
      <c r="J18" s="36" t="s">
        <v>48</v>
      </c>
      <c r="K18" s="38">
        <v>45127.0</v>
      </c>
      <c r="L18" s="39">
        <v>2023.0</v>
      </c>
      <c r="M18" s="117" t="s">
        <v>62</v>
      </c>
      <c r="N18" s="41" t="s">
        <v>56</v>
      </c>
      <c r="O18" s="42">
        <v>373763.0</v>
      </c>
      <c r="P18" s="43">
        <v>4477.0</v>
      </c>
      <c r="Q18" s="44">
        <f t="shared" si="24"/>
        <v>378240</v>
      </c>
      <c r="R18" s="43">
        <v>44680.0</v>
      </c>
      <c r="S18" s="44">
        <f t="shared" si="25"/>
        <v>200032360</v>
      </c>
      <c r="T18" s="45">
        <f t="shared" si="26"/>
        <v>0.01183640017</v>
      </c>
      <c r="U18" s="46">
        <f t="shared" si="27"/>
        <v>168.997632</v>
      </c>
      <c r="V18" s="119" t="s">
        <v>109</v>
      </c>
      <c r="W18" s="120">
        <v>45777.0</v>
      </c>
      <c r="X18" s="77">
        <v>56911.0</v>
      </c>
      <c r="Y18" s="51">
        <f t="shared" si="28"/>
        <v>4477</v>
      </c>
      <c r="Z18" s="118">
        <v>415919.0</v>
      </c>
      <c r="AA18" s="52">
        <f t="shared" si="29"/>
        <v>0.01076411513</v>
      </c>
      <c r="AB18" s="53">
        <f t="shared" si="30"/>
        <v>236.7036621</v>
      </c>
      <c r="AC18" s="54">
        <f t="shared" si="31"/>
        <v>254790547</v>
      </c>
      <c r="AD18" s="55">
        <f t="shared" si="10"/>
        <v>1.273746643</v>
      </c>
      <c r="AE18" s="56"/>
      <c r="AF18" s="51"/>
      <c r="AG18" s="54">
        <f>AE18*AF18</f>
        <v>0</v>
      </c>
      <c r="AH18" s="57" t="s">
        <v>95</v>
      </c>
      <c r="AI18" s="57" t="s">
        <v>96</v>
      </c>
      <c r="AJ18" s="57" t="s">
        <v>97</v>
      </c>
      <c r="AK18" s="58"/>
      <c r="AL18" s="29"/>
      <c r="AM18" s="29"/>
      <c r="AN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4</v>
      </c>
      <c r="J19" s="36" t="s">
        <v>48</v>
      </c>
      <c r="K19" s="38">
        <v>45265.0</v>
      </c>
      <c r="L19" s="39">
        <v>2023.0</v>
      </c>
      <c r="M19" s="60" t="s">
        <v>62</v>
      </c>
      <c r="N19" s="41" t="s">
        <v>56</v>
      </c>
      <c r="O19" s="42">
        <v>382716.0</v>
      </c>
      <c r="P19" s="43">
        <v>2239.0</v>
      </c>
      <c r="Q19" s="44">
        <f t="shared" si="24"/>
        <v>384955</v>
      </c>
      <c r="R19" s="43">
        <v>44680.0</v>
      </c>
      <c r="S19" s="44">
        <f t="shared" si="25"/>
        <v>100038520</v>
      </c>
      <c r="T19" s="45">
        <f t="shared" si="26"/>
        <v>0.005816264239</v>
      </c>
      <c r="U19" s="46">
        <f t="shared" si="27"/>
        <v>171.997894</v>
      </c>
      <c r="V19" s="119" t="s">
        <v>109</v>
      </c>
      <c r="W19" s="120">
        <v>45777.0</v>
      </c>
      <c r="X19" s="77">
        <v>56911.0</v>
      </c>
      <c r="Y19" s="51">
        <f t="shared" si="28"/>
        <v>2239</v>
      </c>
      <c r="Z19" s="118">
        <v>415919.0</v>
      </c>
      <c r="AA19" s="52">
        <f t="shared" si="29"/>
        <v>0.005383259721</v>
      </c>
      <c r="AB19" s="53">
        <f t="shared" si="30"/>
        <v>236.7036621</v>
      </c>
      <c r="AC19" s="54">
        <f t="shared" si="31"/>
        <v>127423729</v>
      </c>
      <c r="AD19" s="55">
        <f t="shared" si="10"/>
        <v>1.273746643</v>
      </c>
      <c r="AE19" s="68"/>
      <c r="AF19" s="51"/>
      <c r="AG19" s="54">
        <v>0.0</v>
      </c>
      <c r="AH19" s="57" t="s">
        <v>95</v>
      </c>
      <c r="AI19" s="57" t="s">
        <v>96</v>
      </c>
      <c r="AJ19" s="57" t="s">
        <v>99</v>
      </c>
      <c r="AK19" s="58"/>
      <c r="AL19" s="29"/>
      <c r="AM19" s="29"/>
      <c r="AN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3"/>
      <c r="AG20" s="85"/>
      <c r="AH20" s="85"/>
      <c r="AI20" s="85"/>
      <c r="AJ20" s="85"/>
      <c r="AK20" s="87"/>
      <c r="AL20" s="8"/>
      <c r="AM20" s="8"/>
      <c r="AN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4276132451</v>
      </c>
      <c r="AD21" s="93">
        <f>AC21/S21</f>
        <v>1.857388801</v>
      </c>
      <c r="AE21" s="91"/>
      <c r="AF21" s="94"/>
      <c r="AG21" s="91"/>
      <c r="AH21" s="91"/>
      <c r="AI21" s="91"/>
      <c r="AJ21" s="91"/>
      <c r="AK21" s="95"/>
      <c r="AL21" s="96"/>
      <c r="AM21" s="96"/>
      <c r="AN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101"/>
      <c r="AG22" s="98"/>
      <c r="AH22" s="98"/>
      <c r="AI22" s="98"/>
      <c r="AJ22" s="98"/>
      <c r="AK22" s="102"/>
      <c r="AL22" s="29"/>
      <c r="AM22" s="29"/>
      <c r="AN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103"/>
      <c r="AL23" s="29"/>
      <c r="AM23" s="29"/>
      <c r="AN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7"/>
      <c r="AL24" s="29"/>
      <c r="AM24" s="29"/>
      <c r="AN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7"/>
      <c r="AL25" s="29"/>
      <c r="AM25" s="29"/>
      <c r="AN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7"/>
      <c r="AL26" s="29"/>
      <c r="AM26" s="29"/>
      <c r="AN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7"/>
      <c r="AL27" s="29"/>
      <c r="AM27" s="29"/>
      <c r="AN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7"/>
      <c r="AL28" s="29"/>
      <c r="AM28" s="29"/>
      <c r="AN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7"/>
      <c r="AL29" s="29"/>
      <c r="AM29" s="29"/>
      <c r="AN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"/>
      <c r="Q30" s="8"/>
      <c r="R30" s="8"/>
      <c r="S30" s="8"/>
      <c r="T30" s="8"/>
      <c r="U30" s="8"/>
      <c r="V30" s="8"/>
      <c r="W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7"/>
      <c r="AL30" s="29"/>
      <c r="AM30" s="29"/>
      <c r="AN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7"/>
      <c r="AL31" s="29"/>
      <c r="AM31" s="29"/>
      <c r="AN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7"/>
      <c r="AL32" s="29"/>
      <c r="AM32" s="29"/>
      <c r="AN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7"/>
      <c r="AL33" s="29"/>
      <c r="AM33" s="29"/>
      <c r="AN33" s="29"/>
    </row>
    <row r="34" ht="16.5" customHeight="1">
      <c r="A34" s="8"/>
      <c r="B34" s="121">
        <v>45930.0</v>
      </c>
      <c r="C34" s="111"/>
      <c r="D34" s="111">
        <f>AC21</f>
        <v>4276132451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7"/>
      <c r="AL34" s="29"/>
      <c r="AM34" s="29"/>
      <c r="AN34" s="29"/>
    </row>
    <row r="35" ht="16.5" customHeight="1">
      <c r="A35" s="8"/>
      <c r="B35" s="113" t="s">
        <v>106</v>
      </c>
      <c r="C35" s="114"/>
      <c r="D35" s="114">
        <f>XIRR(D25:D34,B25:B34)</f>
        <v>0.1789723456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7"/>
      <c r="AL35" s="29"/>
      <c r="AM35" s="29"/>
      <c r="AN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7"/>
      <c r="AL36" s="29"/>
      <c r="AM36" s="29"/>
      <c r="AN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7"/>
      <c r="AL37" s="29"/>
      <c r="AM37" s="29"/>
      <c r="AN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7"/>
      <c r="AL38" s="29"/>
      <c r="AM38" s="29"/>
      <c r="AN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7"/>
      <c r="AL39" s="29"/>
      <c r="AM39" s="29"/>
      <c r="AN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7"/>
      <c r="AL40" s="29"/>
      <c r="AM40" s="29"/>
      <c r="AN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7"/>
      <c r="AL41" s="29"/>
      <c r="AM41" s="29"/>
      <c r="AN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7"/>
      <c r="AL42" s="29"/>
      <c r="AM42" s="29"/>
      <c r="AN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7"/>
      <c r="AL43" s="29"/>
      <c r="AM43" s="29"/>
      <c r="AN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7"/>
      <c r="AL44" s="29"/>
      <c r="AM44" s="29"/>
      <c r="AN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7"/>
      <c r="AL45" s="29"/>
      <c r="AM45" s="29"/>
      <c r="AN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7"/>
      <c r="AL46" s="29"/>
      <c r="AM46" s="29"/>
      <c r="AN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7"/>
      <c r="AL47" s="29"/>
      <c r="AM47" s="29"/>
      <c r="AN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7"/>
      <c r="AL48" s="29"/>
      <c r="AM48" s="29"/>
      <c r="AN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7"/>
      <c r="AL49" s="29"/>
      <c r="AM49" s="29"/>
      <c r="AN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7"/>
      <c r="AL50" s="29"/>
      <c r="AM50" s="29"/>
      <c r="AN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7"/>
      <c r="AL51" s="29"/>
      <c r="AM51" s="29"/>
      <c r="AN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7"/>
      <c r="AL52" s="29"/>
      <c r="AM52" s="29"/>
      <c r="AN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7"/>
      <c r="AL53" s="29"/>
      <c r="AM53" s="29"/>
      <c r="AN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7"/>
      <c r="AL54" s="29"/>
      <c r="AM54" s="29"/>
      <c r="AN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7"/>
      <c r="AL55" s="29"/>
      <c r="AM55" s="29"/>
      <c r="AN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"/>
      <c r="AL56" s="29"/>
      <c r="AM56" s="29"/>
      <c r="AN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7"/>
      <c r="AL57" s="29"/>
      <c r="AM57" s="29"/>
      <c r="AN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"/>
      <c r="AL58" s="29"/>
      <c r="AM58" s="29"/>
      <c r="AN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"/>
      <c r="AL59" s="29"/>
      <c r="AM59" s="29"/>
      <c r="AN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"/>
      <c r="AL60" s="29"/>
      <c r="AM60" s="29"/>
      <c r="AN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7"/>
      <c r="AL61" s="29"/>
      <c r="AM61" s="29"/>
      <c r="AN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"/>
      <c r="AL62" s="29"/>
      <c r="AM62" s="29"/>
      <c r="AN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"/>
      <c r="AL63" s="29"/>
      <c r="AM63" s="29"/>
      <c r="AN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"/>
      <c r="AL64" s="29"/>
      <c r="AM64" s="29"/>
      <c r="AN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7"/>
      <c r="AL65" s="29"/>
      <c r="AM65" s="29"/>
      <c r="AN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7"/>
      <c r="AL66" s="29"/>
      <c r="AM66" s="29"/>
      <c r="AN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7"/>
      <c r="AL67" s="29"/>
      <c r="AM67" s="29"/>
      <c r="AN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7"/>
      <c r="AL68" s="29"/>
      <c r="AM68" s="29"/>
      <c r="AN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7"/>
      <c r="AL69" s="29"/>
      <c r="AM69" s="29"/>
      <c r="AN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7"/>
      <c r="AL70" s="29"/>
      <c r="AM70" s="29"/>
      <c r="AN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7"/>
      <c r="AL71" s="29"/>
      <c r="AM71" s="29"/>
      <c r="AN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7"/>
      <c r="AL72" s="29"/>
      <c r="AM72" s="29"/>
      <c r="AN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"/>
      <c r="AL73" s="29"/>
      <c r="AM73" s="29"/>
      <c r="AN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7"/>
      <c r="AL74" s="29"/>
      <c r="AM74" s="29"/>
      <c r="AN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7"/>
      <c r="AL75" s="29"/>
      <c r="AM75" s="29"/>
      <c r="AN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7"/>
      <c r="AL76" s="29"/>
      <c r="AM76" s="29"/>
      <c r="AN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7"/>
      <c r="AL77" s="29"/>
      <c r="AM77" s="29"/>
      <c r="AN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7"/>
      <c r="AL78" s="29"/>
      <c r="AM78" s="29"/>
      <c r="AN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7"/>
      <c r="AL79" s="29"/>
      <c r="AM79" s="29"/>
      <c r="AN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"/>
      <c r="AL80" s="29"/>
      <c r="AM80" s="29"/>
      <c r="AN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"/>
      <c r="AL81" s="29"/>
      <c r="AM81" s="29"/>
      <c r="AN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"/>
      <c r="AL82" s="29"/>
      <c r="AM82" s="29"/>
      <c r="AN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"/>
      <c r="AL83" s="29"/>
      <c r="AM83" s="29"/>
      <c r="AN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"/>
      <c r="AL84" s="29"/>
      <c r="AM84" s="29"/>
      <c r="AN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"/>
      <c r="AL85" s="29"/>
      <c r="AM85" s="29"/>
      <c r="AN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"/>
      <c r="AL86" s="29"/>
      <c r="AM86" s="29"/>
      <c r="AN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"/>
      <c r="AL87" s="29"/>
      <c r="AM87" s="29"/>
      <c r="AN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"/>
      <c r="AL88" s="29"/>
      <c r="AM88" s="29"/>
      <c r="AN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"/>
      <c r="AL89" s="29"/>
      <c r="AM89" s="29"/>
      <c r="AN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"/>
      <c r="AL90" s="29"/>
      <c r="AM90" s="29"/>
      <c r="AN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"/>
      <c r="AL91" s="29"/>
      <c r="AM91" s="29"/>
      <c r="AN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"/>
      <c r="AL92" s="29"/>
      <c r="AM92" s="29"/>
      <c r="AN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"/>
      <c r="AL93" s="29"/>
      <c r="AM93" s="29"/>
      <c r="AN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"/>
      <c r="AL94" s="29"/>
      <c r="AM94" s="29"/>
      <c r="AN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"/>
      <c r="AL95" s="29"/>
      <c r="AM95" s="29"/>
      <c r="AN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"/>
      <c r="AL96" s="29"/>
      <c r="AM96" s="29"/>
      <c r="AN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"/>
      <c r="AL97" s="29"/>
      <c r="AM97" s="29"/>
      <c r="AN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7"/>
      <c r="AL98" s="29"/>
      <c r="AM98" s="29"/>
      <c r="AN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"/>
      <c r="AL99" s="29"/>
      <c r="AM99" s="29"/>
      <c r="AN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7"/>
      <c r="AL100" s="29"/>
      <c r="AM100" s="29"/>
      <c r="AN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7"/>
      <c r="AL101" s="29"/>
      <c r="AM101" s="29"/>
      <c r="AN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/>
      <c r="AL102" s="29"/>
      <c r="AM102" s="29"/>
      <c r="AN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7"/>
      <c r="AL103" s="29"/>
      <c r="AM103" s="29"/>
      <c r="AN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7"/>
      <c r="AL104" s="29"/>
      <c r="AM104" s="29"/>
      <c r="AN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7"/>
      <c r="AL105" s="29"/>
      <c r="AM105" s="29"/>
      <c r="AN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7"/>
      <c r="AL106" s="29"/>
      <c r="AM106" s="29"/>
      <c r="AN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7"/>
      <c r="AL107" s="29"/>
      <c r="AM107" s="29"/>
      <c r="AN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"/>
      <c r="AL108" s="29"/>
      <c r="AM108" s="29"/>
      <c r="AN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7"/>
      <c r="AL109" s="29"/>
      <c r="AM109" s="29"/>
      <c r="AN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7"/>
      <c r="AL110" s="29"/>
      <c r="AM110" s="29"/>
      <c r="AN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7"/>
      <c r="AL111" s="29"/>
      <c r="AM111" s="29"/>
      <c r="AN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7"/>
      <c r="AL112" s="29"/>
      <c r="AM112" s="29"/>
      <c r="AN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7"/>
      <c r="AL113" s="29"/>
      <c r="AM113" s="29"/>
      <c r="AN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7"/>
      <c r="AL114" s="29"/>
      <c r="AM114" s="29"/>
      <c r="AN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"/>
      <c r="AL115" s="29"/>
      <c r="AM115" s="29"/>
      <c r="AN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7"/>
      <c r="AL116" s="29"/>
      <c r="AM116" s="29"/>
      <c r="AN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7"/>
      <c r="AL117" s="29"/>
      <c r="AM117" s="29"/>
      <c r="AN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7"/>
      <c r="AL118" s="29"/>
      <c r="AM118" s="29"/>
      <c r="AN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7"/>
      <c r="AL119" s="29"/>
      <c r="AM119" s="29"/>
      <c r="AN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7"/>
      <c r="AL120" s="29"/>
      <c r="AM120" s="29"/>
      <c r="AN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29"/>
      <c r="AM121" s="29"/>
      <c r="AN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"/>
      <c r="AL122" s="29"/>
      <c r="AM122" s="29"/>
      <c r="AN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"/>
      <c r="AL123" s="29"/>
      <c r="AM123" s="29"/>
      <c r="AN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7"/>
      <c r="AL124" s="29"/>
      <c r="AM124" s="29"/>
      <c r="AN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"/>
      <c r="AL125" s="29"/>
      <c r="AM125" s="29"/>
      <c r="AN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7"/>
      <c r="AL126" s="29"/>
      <c r="AM126" s="29"/>
      <c r="AN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7"/>
      <c r="AL127" s="29"/>
      <c r="AM127" s="29"/>
      <c r="AN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"/>
      <c r="AL128" s="29"/>
      <c r="AM128" s="29"/>
      <c r="AN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29"/>
      <c r="AM129" s="29"/>
      <c r="AN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7"/>
      <c r="AL130" s="29"/>
      <c r="AM130" s="29"/>
      <c r="AN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7"/>
      <c r="AL131" s="29"/>
      <c r="AM131" s="29"/>
      <c r="AN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7"/>
      <c r="AL132" s="29"/>
      <c r="AM132" s="29"/>
      <c r="AN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7"/>
      <c r="AL133" s="29"/>
      <c r="AM133" s="29"/>
      <c r="AN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7"/>
      <c r="AL134" s="29"/>
      <c r="AM134" s="29"/>
      <c r="AN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7"/>
      <c r="AL135" s="29"/>
      <c r="AM135" s="29"/>
      <c r="AN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7"/>
      <c r="AL136" s="29"/>
      <c r="AM136" s="29"/>
      <c r="AN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7"/>
      <c r="AL137" s="29"/>
      <c r="AM137" s="29"/>
      <c r="AN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7"/>
      <c r="AL138" s="29"/>
      <c r="AM138" s="29"/>
      <c r="AN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7"/>
      <c r="AL139" s="29"/>
      <c r="AM139" s="29"/>
      <c r="AN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7"/>
      <c r="AL140" s="29"/>
      <c r="AM140" s="29"/>
      <c r="AN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7"/>
      <c r="AL141" s="29"/>
      <c r="AM141" s="29"/>
      <c r="AN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7"/>
      <c r="AL142" s="29"/>
      <c r="AM142" s="29"/>
      <c r="AN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7"/>
      <c r="AL143" s="29"/>
      <c r="AM143" s="29"/>
      <c r="AN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"/>
      <c r="AL144" s="29"/>
      <c r="AM144" s="29"/>
      <c r="AN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7"/>
      <c r="AL145" s="29"/>
      <c r="AM145" s="29"/>
      <c r="AN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7"/>
      <c r="AL146" s="29"/>
      <c r="AM146" s="29"/>
      <c r="AN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7"/>
      <c r="AL147" s="29"/>
      <c r="AM147" s="29"/>
      <c r="AN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7"/>
      <c r="AL148" s="29"/>
      <c r="AM148" s="29"/>
      <c r="AN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7"/>
      <c r="AL149" s="29"/>
      <c r="AM149" s="29"/>
      <c r="AN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7"/>
      <c r="AL150" s="29"/>
      <c r="AM150" s="29"/>
      <c r="AN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7"/>
      <c r="AL151" s="29"/>
      <c r="AM151" s="29"/>
      <c r="AN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7"/>
      <c r="AL152" s="29"/>
      <c r="AM152" s="29"/>
      <c r="AN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7"/>
      <c r="AL153" s="29"/>
      <c r="AM153" s="29"/>
      <c r="AN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7"/>
      <c r="AL154" s="29"/>
      <c r="AM154" s="29"/>
      <c r="AN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7"/>
      <c r="AL155" s="29"/>
      <c r="AM155" s="29"/>
      <c r="AN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7"/>
      <c r="AL156" s="29"/>
      <c r="AM156" s="29"/>
      <c r="AN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7"/>
      <c r="AL157" s="29"/>
      <c r="AM157" s="29"/>
      <c r="AN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7"/>
      <c r="AL158" s="29"/>
      <c r="AM158" s="29"/>
      <c r="AN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7"/>
      <c r="AL159" s="29"/>
      <c r="AM159" s="29"/>
      <c r="AN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7"/>
      <c r="AL160" s="29"/>
      <c r="AM160" s="29"/>
      <c r="AN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7"/>
      <c r="AL161" s="29"/>
      <c r="AM161" s="29"/>
      <c r="AN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7"/>
      <c r="AL162" s="29"/>
      <c r="AM162" s="29"/>
      <c r="AN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7"/>
      <c r="AL163" s="29"/>
      <c r="AM163" s="29"/>
      <c r="AN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7"/>
      <c r="AL164" s="29"/>
      <c r="AM164" s="29"/>
      <c r="AN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7"/>
      <c r="AL165" s="29"/>
      <c r="AM165" s="29"/>
      <c r="AN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7"/>
      <c r="AL166" s="29"/>
      <c r="AM166" s="29"/>
      <c r="AN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7"/>
      <c r="AL167" s="29"/>
      <c r="AM167" s="29"/>
      <c r="AN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7"/>
      <c r="AL168" s="29"/>
      <c r="AM168" s="29"/>
      <c r="AN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7"/>
      <c r="AL169" s="29"/>
      <c r="AM169" s="29"/>
      <c r="AN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7"/>
      <c r="AL170" s="29"/>
      <c r="AM170" s="29"/>
      <c r="AN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7"/>
      <c r="AL171" s="29"/>
      <c r="AM171" s="29"/>
      <c r="AN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7"/>
      <c r="AL172" s="29"/>
      <c r="AM172" s="29"/>
      <c r="AN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7"/>
      <c r="AL173" s="29"/>
      <c r="AM173" s="29"/>
      <c r="AN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7"/>
      <c r="AL174" s="29"/>
      <c r="AM174" s="29"/>
      <c r="AN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7"/>
      <c r="AL175" s="29"/>
      <c r="AM175" s="29"/>
      <c r="AN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/>
      <c r="AL176" s="29"/>
      <c r="AM176" s="29"/>
      <c r="AN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7"/>
      <c r="AL177" s="29"/>
      <c r="AM177" s="29"/>
      <c r="AN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7"/>
      <c r="AL178" s="29"/>
      <c r="AM178" s="29"/>
      <c r="AN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7"/>
      <c r="AL179" s="29"/>
      <c r="AM179" s="29"/>
      <c r="AN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7"/>
      <c r="AL180" s="29"/>
      <c r="AM180" s="29"/>
      <c r="AN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7"/>
      <c r="AL181" s="29"/>
      <c r="AM181" s="29"/>
      <c r="AN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7"/>
      <c r="AL182" s="29"/>
      <c r="AM182" s="29"/>
      <c r="AN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7"/>
      <c r="AL183" s="29"/>
      <c r="AM183" s="29"/>
      <c r="AN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7"/>
      <c r="AL184" s="29"/>
      <c r="AM184" s="29"/>
      <c r="AN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7"/>
      <c r="AL185" s="29"/>
      <c r="AM185" s="29"/>
      <c r="AN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7"/>
      <c r="AL186" s="29"/>
      <c r="AM186" s="29"/>
      <c r="AN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7"/>
      <c r="AL187" s="29"/>
      <c r="AM187" s="29"/>
      <c r="AN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7"/>
      <c r="AL188" s="29"/>
      <c r="AM188" s="29"/>
      <c r="AN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7"/>
      <c r="AL189" s="29"/>
      <c r="AM189" s="29"/>
      <c r="AN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7"/>
      <c r="AL190" s="29"/>
      <c r="AM190" s="29"/>
      <c r="AN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7"/>
      <c r="AL191" s="29"/>
      <c r="AM191" s="29"/>
      <c r="AN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7"/>
      <c r="AL192" s="29"/>
      <c r="AM192" s="29"/>
      <c r="AN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7"/>
      <c r="AL193" s="29"/>
      <c r="AM193" s="29"/>
      <c r="AN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7"/>
      <c r="AL194" s="29"/>
      <c r="AM194" s="29"/>
      <c r="AN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7"/>
      <c r="AL195" s="29"/>
      <c r="AM195" s="29"/>
      <c r="AN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7"/>
      <c r="AL196" s="29"/>
      <c r="AM196" s="29"/>
      <c r="AN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7"/>
      <c r="AL197" s="29"/>
      <c r="AM197" s="29"/>
      <c r="AN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7"/>
      <c r="AL198" s="29"/>
      <c r="AM198" s="29"/>
      <c r="AN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7"/>
      <c r="AL199" s="29"/>
      <c r="AM199" s="29"/>
      <c r="AN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7"/>
      <c r="AL200" s="29"/>
      <c r="AM200" s="29"/>
      <c r="AN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7"/>
      <c r="AL201" s="29"/>
      <c r="AM201" s="29"/>
      <c r="AN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7"/>
      <c r="AL202" s="29"/>
      <c r="AM202" s="29"/>
      <c r="AN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7"/>
      <c r="AL203" s="29"/>
      <c r="AM203" s="29"/>
      <c r="AN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7"/>
      <c r="AL204" s="29"/>
      <c r="AM204" s="29"/>
      <c r="AN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7"/>
      <c r="AL205" s="29"/>
      <c r="AM205" s="29"/>
      <c r="AN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7"/>
      <c r="AL206" s="29"/>
      <c r="AM206" s="29"/>
      <c r="AN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7"/>
      <c r="AL207" s="29"/>
      <c r="AM207" s="29"/>
      <c r="AN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7"/>
      <c r="AL208" s="29"/>
      <c r="AM208" s="29"/>
      <c r="AN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7"/>
      <c r="AL209" s="29"/>
      <c r="AM209" s="29"/>
      <c r="AN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7"/>
      <c r="AL210" s="29"/>
      <c r="AM210" s="29"/>
      <c r="AN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7"/>
      <c r="AL211" s="29"/>
      <c r="AM211" s="29"/>
      <c r="AN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7"/>
      <c r="AL212" s="29"/>
      <c r="AM212" s="29"/>
      <c r="AN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7"/>
      <c r="AL213" s="29"/>
      <c r="AM213" s="29"/>
      <c r="AN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7"/>
      <c r="AL214" s="29"/>
      <c r="AM214" s="29"/>
      <c r="AN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7"/>
      <c r="AL215" s="29"/>
      <c r="AM215" s="29"/>
      <c r="AN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7"/>
      <c r="AL216" s="29"/>
      <c r="AM216" s="29"/>
      <c r="AN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7"/>
      <c r="AL217" s="29"/>
      <c r="AM217" s="29"/>
      <c r="AN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7"/>
      <c r="AL218" s="29"/>
      <c r="AM218" s="29"/>
      <c r="AN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7"/>
      <c r="AL219" s="29"/>
      <c r="AM219" s="29"/>
      <c r="AN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7"/>
      <c r="AL220" s="29"/>
      <c r="AM220" s="29"/>
      <c r="AN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7"/>
      <c r="AL221" s="29"/>
      <c r="AM221" s="29"/>
      <c r="AN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7"/>
      <c r="AL222" s="29"/>
      <c r="AM222" s="29"/>
      <c r="AN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7"/>
      <c r="AL223" s="29"/>
      <c r="AM223" s="29"/>
      <c r="AN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7"/>
      <c r="AL224" s="29"/>
      <c r="AM224" s="29"/>
      <c r="AN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7"/>
      <c r="AL225" s="29"/>
      <c r="AM225" s="29"/>
      <c r="AN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7"/>
      <c r="AL226" s="29"/>
      <c r="AM226" s="29"/>
      <c r="AN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7"/>
      <c r="AL227" s="29"/>
      <c r="AM227" s="29"/>
      <c r="AN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7"/>
      <c r="AL228" s="29"/>
      <c r="AM228" s="29"/>
      <c r="AN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7"/>
      <c r="AL229" s="29"/>
      <c r="AM229" s="29"/>
      <c r="AN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7"/>
      <c r="AL230" s="29"/>
      <c r="AM230" s="29"/>
      <c r="AN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7"/>
      <c r="AL231" s="29"/>
      <c r="AM231" s="29"/>
      <c r="AN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7"/>
      <c r="AL232" s="29"/>
      <c r="AM232" s="29"/>
      <c r="AN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7"/>
      <c r="AL233" s="29"/>
      <c r="AM233" s="29"/>
      <c r="AN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7"/>
      <c r="AL234" s="29"/>
      <c r="AM234" s="29"/>
      <c r="AN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7"/>
      <c r="AL235" s="29"/>
      <c r="AM235" s="29"/>
      <c r="AN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</row>
  </sheetData>
  <autoFilter ref="$A$3:$AK$3">
    <sortState ref="A3:AK3">
      <sortCondition ref="A3"/>
    </sortState>
  </autoFilter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44.86"/>
    <col customWidth="1" min="5" max="5" width="12.43"/>
    <col customWidth="1" min="6" max="7" width="11.14"/>
    <col customWidth="1" min="8" max="8" width="15.43"/>
    <col customWidth="1" min="9" max="9" width="16.14"/>
    <col customWidth="1" min="10" max="10" width="13.57"/>
    <col customWidth="1" min="11" max="11" width="16.86"/>
    <col customWidth="1" hidden="1" min="12" max="12" width="14.57"/>
    <col customWidth="1" min="13" max="17" width="13.71"/>
    <col customWidth="1" min="18" max="18" width="14.0"/>
    <col customWidth="1" min="19" max="19" width="17.43"/>
    <col customWidth="1" min="20" max="20" width="10.43"/>
    <col customWidth="1" min="21" max="21" width="15.71"/>
    <col customWidth="1" min="22" max="22" width="14.0"/>
    <col customWidth="1" min="23" max="23" width="11.86"/>
    <col customWidth="1" min="24" max="24" width="13.29"/>
    <col customWidth="1" min="25" max="25" width="14.0"/>
    <col customWidth="1" min="26" max="26" width="17.0"/>
    <col customWidth="1" min="27" max="27" width="11.71"/>
    <col customWidth="1" min="28" max="28" width="14.14"/>
    <col customWidth="1" min="29" max="29" width="17.43"/>
    <col customWidth="1" min="30" max="30" width="11.71"/>
    <col customWidth="1" min="31" max="32" width="14.0"/>
    <col customWidth="1" min="33" max="33" width="17.43"/>
    <col customWidth="1" min="34" max="34" width="37.57"/>
    <col customWidth="1" min="35" max="36" width="17.43"/>
    <col customWidth="1" min="37" max="37" width="23.57"/>
    <col customWidth="1" min="38" max="38" width="3.14"/>
    <col customWidth="1" min="39" max="39" width="10.29"/>
    <col customWidth="1" min="40" max="40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5"/>
      <c r="Z1" s="5"/>
      <c r="AA1" s="5"/>
      <c r="AB1" s="5"/>
      <c r="AC1" s="5"/>
      <c r="AD1" s="5"/>
      <c r="AE1" s="6"/>
      <c r="AF1" s="5"/>
      <c r="AG1" s="5"/>
      <c r="AH1" s="4" t="s">
        <v>1</v>
      </c>
      <c r="AI1" s="4"/>
      <c r="AJ1" s="4"/>
      <c r="AK1" s="7"/>
      <c r="AL1" s="8"/>
      <c r="AM1" s="8" t="s">
        <v>2</v>
      </c>
      <c r="AN1" s="9">
        <v>46022.0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16" t="s">
        <v>113</v>
      </c>
      <c r="W2" s="10"/>
      <c r="X2" s="15"/>
      <c r="Y2" s="16"/>
      <c r="Z2" s="17"/>
      <c r="AA2" s="16"/>
      <c r="AB2" s="16"/>
      <c r="AC2" s="16"/>
      <c r="AD2" s="16"/>
      <c r="AE2" s="14" t="s">
        <v>6</v>
      </c>
      <c r="AF2" s="16"/>
      <c r="AG2" s="16"/>
      <c r="AH2" s="15"/>
      <c r="AI2" s="15"/>
      <c r="AJ2" s="15"/>
      <c r="AK2" s="7"/>
      <c r="AL2" s="8"/>
      <c r="AM2" s="8"/>
      <c r="AN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25" t="s">
        <v>29</v>
      </c>
      <c r="X3" s="27" t="s">
        <v>30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19" t="s">
        <v>35</v>
      </c>
      <c r="AF3" s="19" t="s">
        <v>36</v>
      </c>
      <c r="AG3" s="19" t="s">
        <v>37</v>
      </c>
      <c r="AH3" s="28" t="s">
        <v>38</v>
      </c>
      <c r="AI3" s="28" t="s">
        <v>39</v>
      </c>
      <c r="AJ3" s="28" t="s">
        <v>40</v>
      </c>
      <c r="AK3" s="19" t="s">
        <v>41</v>
      </c>
      <c r="AL3" s="29"/>
      <c r="AM3" s="29"/>
      <c r="AN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DATEDIF(H4,$AN$1,"y")</f>
        <v>7</v>
      </c>
      <c r="J4" s="36" t="s">
        <v>48</v>
      </c>
      <c r="K4" s="38">
        <v>44528.0</v>
      </c>
      <c r="L4" s="39">
        <v>2021.0</v>
      </c>
      <c r="M4" s="4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47" t="s">
        <v>49</v>
      </c>
      <c r="W4" s="48">
        <v>44658.0</v>
      </c>
      <c r="X4" s="77">
        <v>1530000.0</v>
      </c>
      <c r="Y4" s="51">
        <f t="shared" ref="Y4:Y8" si="6">P4-AF4</f>
        <v>65</v>
      </c>
      <c r="Z4" s="50">
        <v>10342.0</v>
      </c>
      <c r="AA4" s="52">
        <f t="shared" ref="AA4:AA9" si="7">Y4/Z4</f>
        <v>0.006285051247</v>
      </c>
      <c r="AB4" s="53">
        <f t="shared" ref="AB4:AB9" si="8">Z4*X4/100000000</f>
        <v>158.2326</v>
      </c>
      <c r="AC4" s="123">
        <v>9.945E7</v>
      </c>
      <c r="AD4" s="124">
        <f t="shared" ref="AD4:AD19" si="9">AC4/S4</f>
        <v>1</v>
      </c>
      <c r="AE4" s="56"/>
      <c r="AF4" s="51"/>
      <c r="AG4" s="54">
        <f t="shared" ref="AG4:AG8" si="10">AE4*AF4</f>
        <v>0</v>
      </c>
      <c r="AH4" s="122"/>
      <c r="AI4" s="57"/>
      <c r="AJ4" s="57"/>
      <c r="AK4" s="58"/>
      <c r="AL4" s="59"/>
      <c r="AM4" s="29"/>
      <c r="AN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5</v>
      </c>
      <c r="J5" s="36" t="s">
        <v>48</v>
      </c>
      <c r="K5" s="38">
        <v>44498.0</v>
      </c>
      <c r="L5" s="39">
        <v>2021.0</v>
      </c>
      <c r="M5" s="60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61" t="s">
        <v>57</v>
      </c>
      <c r="W5" s="48">
        <v>45644.0</v>
      </c>
      <c r="X5" s="50">
        <v>184960.0</v>
      </c>
      <c r="Y5" s="51">
        <f t="shared" si="6"/>
        <v>5500</v>
      </c>
      <c r="Z5" s="50">
        <v>204246.0</v>
      </c>
      <c r="AA5" s="52">
        <f t="shared" si="7"/>
        <v>0.02692831194</v>
      </c>
      <c r="AB5" s="53">
        <f t="shared" si="8"/>
        <v>377.7734016</v>
      </c>
      <c r="AC5" s="54">
        <f t="shared" ref="AC5:AC9" si="11">X5*Y5</f>
        <v>1017280000</v>
      </c>
      <c r="AD5" s="124">
        <f t="shared" si="9"/>
        <v>9.997837838</v>
      </c>
      <c r="AE5" s="56"/>
      <c r="AF5" s="51"/>
      <c r="AG5" s="54">
        <f t="shared" si="10"/>
        <v>0</v>
      </c>
      <c r="AH5" s="57"/>
      <c r="AI5" s="57"/>
      <c r="AJ5" s="57"/>
      <c r="AK5" s="58"/>
      <c r="AL5" s="29"/>
      <c r="AM5" s="29"/>
      <c r="AN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5</v>
      </c>
      <c r="J6" s="36" t="s">
        <v>48</v>
      </c>
      <c r="K6" s="38">
        <v>44671.0</v>
      </c>
      <c r="L6" s="39">
        <v>2022.0</v>
      </c>
      <c r="M6" s="60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61" t="s">
        <v>57</v>
      </c>
      <c r="W6" s="48">
        <v>45644.0</v>
      </c>
      <c r="X6" s="50">
        <v>184960.0</v>
      </c>
      <c r="Y6" s="51">
        <f t="shared" si="6"/>
        <v>4766</v>
      </c>
      <c r="Z6" s="50">
        <v>204246.0</v>
      </c>
      <c r="AA6" s="52">
        <f t="shared" si="7"/>
        <v>0.02333460631</v>
      </c>
      <c r="AB6" s="53">
        <f t="shared" si="8"/>
        <v>377.7734016</v>
      </c>
      <c r="AC6" s="54">
        <f t="shared" si="11"/>
        <v>881519360</v>
      </c>
      <c r="AD6" s="124">
        <f t="shared" si="9"/>
        <v>2.93890522</v>
      </c>
      <c r="AE6" s="56"/>
      <c r="AF6" s="51"/>
      <c r="AG6" s="54">
        <f t="shared" si="10"/>
        <v>0</v>
      </c>
      <c r="AH6" s="57"/>
      <c r="AI6" s="57"/>
      <c r="AJ6" s="57"/>
      <c r="AK6" s="58"/>
      <c r="AL6" s="29"/>
      <c r="AM6" s="29"/>
      <c r="AN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5</v>
      </c>
      <c r="J7" s="36" t="s">
        <v>48</v>
      </c>
      <c r="K7" s="38">
        <v>44491.0</v>
      </c>
      <c r="L7" s="39">
        <v>2021.0</v>
      </c>
      <c r="M7" s="60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2">R7*P7</f>
        <v>99989070</v>
      </c>
      <c r="T7" s="45">
        <f t="shared" si="4"/>
        <v>0.05262697635</v>
      </c>
      <c r="U7" s="46">
        <f t="shared" si="5"/>
        <v>18.9995848</v>
      </c>
      <c r="V7" s="61" t="s">
        <v>62</v>
      </c>
      <c r="W7" s="64">
        <v>45857.0</v>
      </c>
      <c r="X7" s="50">
        <v>235000.0</v>
      </c>
      <c r="Y7" s="51">
        <f t="shared" si="6"/>
        <v>3009</v>
      </c>
      <c r="Z7" s="77">
        <v>92764.0</v>
      </c>
      <c r="AA7" s="52">
        <f t="shared" si="7"/>
        <v>0.03243715234</v>
      </c>
      <c r="AB7" s="53">
        <f t="shared" si="8"/>
        <v>217.9954</v>
      </c>
      <c r="AC7" s="54">
        <f t="shared" si="11"/>
        <v>707115000</v>
      </c>
      <c r="AD7" s="124">
        <f t="shared" si="9"/>
        <v>7.071922961</v>
      </c>
      <c r="AE7" s="56"/>
      <c r="AF7" s="51"/>
      <c r="AG7" s="54">
        <f t="shared" si="10"/>
        <v>0</v>
      </c>
      <c r="AH7" s="57"/>
      <c r="AI7" s="57"/>
      <c r="AJ7" s="57"/>
      <c r="AK7" s="58"/>
      <c r="AL7" s="29"/>
      <c r="AM7" s="29"/>
      <c r="AN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5</v>
      </c>
      <c r="J8" s="36" t="s">
        <v>48</v>
      </c>
      <c r="K8" s="38">
        <v>44932.0</v>
      </c>
      <c r="L8" s="39">
        <v>2023.0</v>
      </c>
      <c r="M8" s="117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2"/>
        <v>99947890</v>
      </c>
      <c r="T8" s="45">
        <f t="shared" si="4"/>
        <v>0.004422501106</v>
      </c>
      <c r="U8" s="46">
        <f t="shared" si="5"/>
        <v>225.9985642</v>
      </c>
      <c r="V8" s="61" t="s">
        <v>57</v>
      </c>
      <c r="W8" s="48">
        <v>45563.0</v>
      </c>
      <c r="X8" s="50">
        <v>190520.0</v>
      </c>
      <c r="Y8" s="51">
        <f t="shared" si="6"/>
        <v>610</v>
      </c>
      <c r="Z8" s="77">
        <v>166385.0</v>
      </c>
      <c r="AA8" s="52">
        <f t="shared" si="7"/>
        <v>0.003666195871</v>
      </c>
      <c r="AB8" s="53">
        <f t="shared" si="8"/>
        <v>316.996702</v>
      </c>
      <c r="AC8" s="54">
        <f t="shared" si="11"/>
        <v>116217200</v>
      </c>
      <c r="AD8" s="124">
        <f t="shared" si="9"/>
        <v>1.162777924</v>
      </c>
      <c r="AE8" s="56"/>
      <c r="AF8" s="51"/>
      <c r="AG8" s="54">
        <f t="shared" si="10"/>
        <v>0</v>
      </c>
      <c r="AH8" s="57"/>
      <c r="AI8" s="57"/>
      <c r="AJ8" s="57"/>
      <c r="AK8" s="58"/>
      <c r="AL8" s="29"/>
      <c r="AM8" s="29"/>
      <c r="AN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5</v>
      </c>
      <c r="J9" s="36" t="s">
        <v>48</v>
      </c>
      <c r="K9" s="38">
        <v>45562.0</v>
      </c>
      <c r="L9" s="39">
        <v>2024.0</v>
      </c>
      <c r="M9" s="117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2"/>
        <v>200046000</v>
      </c>
      <c r="T9" s="45">
        <f t="shared" si="4"/>
        <v>0.006310665024</v>
      </c>
      <c r="U9" s="46">
        <f t="shared" si="5"/>
        <v>316.996702</v>
      </c>
      <c r="V9" s="61" t="s">
        <v>57</v>
      </c>
      <c r="W9" s="48">
        <v>45563.0</v>
      </c>
      <c r="X9" s="50">
        <v>190520.0</v>
      </c>
      <c r="Y9" s="51">
        <v>1050.0</v>
      </c>
      <c r="Z9" s="77">
        <v>166385.0</v>
      </c>
      <c r="AA9" s="52">
        <f t="shared" si="7"/>
        <v>0.006310665024</v>
      </c>
      <c r="AB9" s="53">
        <f t="shared" si="8"/>
        <v>316.996702</v>
      </c>
      <c r="AC9" s="54">
        <f t="shared" si="11"/>
        <v>200046000</v>
      </c>
      <c r="AD9" s="124">
        <f t="shared" si="9"/>
        <v>1</v>
      </c>
      <c r="AE9" s="68"/>
      <c r="AF9" s="51"/>
      <c r="AG9" s="54">
        <v>0.0</v>
      </c>
      <c r="AH9" s="57"/>
      <c r="AI9" s="57"/>
      <c r="AJ9" s="57"/>
      <c r="AK9" s="58"/>
      <c r="AL9" s="29"/>
      <c r="AM9" s="29"/>
      <c r="AN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5</v>
      </c>
      <c r="J10" s="36" t="s">
        <v>48</v>
      </c>
      <c r="K10" s="38">
        <v>44886.0</v>
      </c>
      <c r="L10" s="39">
        <v>2022.0</v>
      </c>
      <c r="M10" s="117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3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61" t="s">
        <v>55</v>
      </c>
      <c r="W10" s="64">
        <v>44944.0</v>
      </c>
      <c r="X10" s="50">
        <v>1.0E8</v>
      </c>
      <c r="Y10" s="51" t="s">
        <v>72</v>
      </c>
      <c r="Z10" s="71">
        <f t="shared" ref="Z10:Z11" si="14">Q10</f>
        <v>7356025</v>
      </c>
      <c r="AA10" s="125" t="s">
        <v>72</v>
      </c>
      <c r="AB10" s="72" t="s">
        <v>73</v>
      </c>
      <c r="AC10" s="50">
        <v>1.0E8</v>
      </c>
      <c r="AD10" s="124">
        <f t="shared" si="9"/>
        <v>1</v>
      </c>
      <c r="AE10" s="68"/>
      <c r="AF10" s="51"/>
      <c r="AG10" s="123">
        <v>0.0</v>
      </c>
      <c r="AH10" s="57"/>
      <c r="AI10" s="57"/>
      <c r="AJ10" s="57"/>
      <c r="AK10" s="58"/>
      <c r="AL10" s="29"/>
      <c r="AM10" s="29"/>
      <c r="AN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5</v>
      </c>
      <c r="J11" s="36" t="s">
        <v>48</v>
      </c>
      <c r="K11" s="38">
        <v>44944.0</v>
      </c>
      <c r="L11" s="39">
        <v>2023.0</v>
      </c>
      <c r="M11" s="117" t="s">
        <v>55</v>
      </c>
      <c r="N11" s="41" t="s">
        <v>71</v>
      </c>
      <c r="O11" s="69">
        <v>7356025.0</v>
      </c>
      <c r="P11" s="43" t="s">
        <v>72</v>
      </c>
      <c r="Q11" s="44">
        <f t="shared" si="13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61" t="s">
        <v>55</v>
      </c>
      <c r="W11" s="64">
        <v>44944.0</v>
      </c>
      <c r="X11" s="50">
        <v>2.0E8</v>
      </c>
      <c r="Y11" s="51" t="s">
        <v>72</v>
      </c>
      <c r="Z11" s="71">
        <f t="shared" si="14"/>
        <v>7356025</v>
      </c>
      <c r="AA11" s="125" t="s">
        <v>72</v>
      </c>
      <c r="AB11" s="72" t="s">
        <v>73</v>
      </c>
      <c r="AC11" s="50">
        <v>2.0E8</v>
      </c>
      <c r="AD11" s="124">
        <f t="shared" si="9"/>
        <v>1</v>
      </c>
      <c r="AE11" s="68"/>
      <c r="AF11" s="51"/>
      <c r="AG11" s="123">
        <v>0.0</v>
      </c>
      <c r="AH11" s="57"/>
      <c r="AI11" s="57"/>
      <c r="AJ11" s="57"/>
      <c r="AK11" s="58"/>
      <c r="AL11" s="29"/>
      <c r="AM11" s="29"/>
      <c r="AN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8</v>
      </c>
      <c r="J12" s="36" t="s">
        <v>48</v>
      </c>
      <c r="K12" s="38">
        <v>44715.0</v>
      </c>
      <c r="L12" s="39">
        <v>2022.0</v>
      </c>
      <c r="M12" s="117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5">O12+P12</f>
        <v>586190</v>
      </c>
      <c r="R12" s="43">
        <v>32243.0</v>
      </c>
      <c r="S12" s="44">
        <f t="shared" ref="S12:S14" si="16">R12*P12</f>
        <v>99985543</v>
      </c>
      <c r="T12" s="45">
        <f t="shared" ref="T12:T14" si="17">P12/Q12</f>
        <v>0.005290093656</v>
      </c>
      <c r="U12" s="46">
        <f t="shared" ref="U12:U14" si="18">Q12*R12/100000000</f>
        <v>189.0052417</v>
      </c>
      <c r="V12" s="61" t="s">
        <v>62</v>
      </c>
      <c r="W12" s="48">
        <v>45317.0</v>
      </c>
      <c r="X12" s="50">
        <v>34155.0</v>
      </c>
      <c r="Y12" s="51">
        <f t="shared" ref="Y12:Y13" si="19">P12-AF12</f>
        <v>3101</v>
      </c>
      <c r="Z12" s="50">
        <v>661696.0</v>
      </c>
      <c r="AA12" s="52">
        <f t="shared" ref="AA12:AA14" si="20">Y12/Z12</f>
        <v>0.004686442112</v>
      </c>
      <c r="AB12" s="53">
        <f t="shared" ref="AB12:AB14" si="21">Z12*X12/100000000</f>
        <v>226.0022688</v>
      </c>
      <c r="AC12" s="54">
        <f t="shared" ref="AC12:AC13" si="22">X12*Y12</f>
        <v>105914655</v>
      </c>
      <c r="AD12" s="124">
        <f t="shared" si="9"/>
        <v>1.059299693</v>
      </c>
      <c r="AE12" s="56"/>
      <c r="AF12" s="51"/>
      <c r="AG12" s="54">
        <f t="shared" ref="AG12:AG14" si="23">AE12*AF12</f>
        <v>0</v>
      </c>
      <c r="AH12" s="57"/>
      <c r="AI12" s="57"/>
      <c r="AJ12" s="57"/>
      <c r="AK12" s="58"/>
      <c r="AL12" s="29"/>
      <c r="AM12" s="29"/>
      <c r="AN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8</v>
      </c>
      <c r="J13" s="36" t="s">
        <v>48</v>
      </c>
      <c r="K13" s="38">
        <v>44936.0</v>
      </c>
      <c r="L13" s="39">
        <v>2023.0</v>
      </c>
      <c r="M13" s="117" t="s">
        <v>62</v>
      </c>
      <c r="N13" s="33" t="s">
        <v>56</v>
      </c>
      <c r="O13" s="66">
        <v>583089.0</v>
      </c>
      <c r="P13" s="43">
        <v>2482.0</v>
      </c>
      <c r="Q13" s="44">
        <f t="shared" si="15"/>
        <v>585571</v>
      </c>
      <c r="R13" s="43">
        <v>40304.0</v>
      </c>
      <c r="S13" s="44">
        <f t="shared" si="16"/>
        <v>100034528</v>
      </c>
      <c r="T13" s="45">
        <f t="shared" si="17"/>
        <v>0.004238597881</v>
      </c>
      <c r="U13" s="46">
        <f t="shared" si="18"/>
        <v>236.0085358</v>
      </c>
      <c r="V13" s="61" t="s">
        <v>62</v>
      </c>
      <c r="W13" s="48">
        <v>45317.0</v>
      </c>
      <c r="X13" s="50">
        <v>34155.0</v>
      </c>
      <c r="Y13" s="51">
        <f t="shared" si="19"/>
        <v>2482</v>
      </c>
      <c r="Z13" s="50">
        <v>661696.0</v>
      </c>
      <c r="AA13" s="52">
        <f t="shared" si="20"/>
        <v>0.003750967212</v>
      </c>
      <c r="AB13" s="53">
        <f t="shared" si="21"/>
        <v>226.0022688</v>
      </c>
      <c r="AC13" s="54">
        <f t="shared" si="22"/>
        <v>84772710</v>
      </c>
      <c r="AD13" s="124">
        <f t="shared" si="9"/>
        <v>0.8474344978</v>
      </c>
      <c r="AE13" s="56"/>
      <c r="AF13" s="51"/>
      <c r="AG13" s="54">
        <f t="shared" si="23"/>
        <v>0</v>
      </c>
      <c r="AH13" s="57"/>
      <c r="AI13" s="57"/>
      <c r="AJ13" s="57"/>
      <c r="AK13" s="58"/>
      <c r="AL13" s="29"/>
      <c r="AM13" s="29"/>
      <c r="AN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6</v>
      </c>
      <c r="J14" s="36" t="s">
        <v>48</v>
      </c>
      <c r="K14" s="38">
        <v>44683.0</v>
      </c>
      <c r="L14" s="39">
        <v>2022.0</v>
      </c>
      <c r="M14" s="117" t="s">
        <v>55</v>
      </c>
      <c r="N14" s="41" t="s">
        <v>56</v>
      </c>
      <c r="O14" s="42">
        <v>100000.0</v>
      </c>
      <c r="P14" s="43">
        <v>3705.0</v>
      </c>
      <c r="Q14" s="44">
        <f t="shared" si="15"/>
        <v>103705</v>
      </c>
      <c r="R14" s="43">
        <v>27000.0</v>
      </c>
      <c r="S14" s="44">
        <f t="shared" si="16"/>
        <v>100035000</v>
      </c>
      <c r="T14" s="45">
        <f t="shared" si="17"/>
        <v>0.03572633914</v>
      </c>
      <c r="U14" s="46">
        <f t="shared" si="18"/>
        <v>28.00035</v>
      </c>
      <c r="V14" s="61" t="s">
        <v>54</v>
      </c>
      <c r="W14" s="48">
        <v>44684.0</v>
      </c>
      <c r="X14" s="77">
        <v>27000.0</v>
      </c>
      <c r="Y14" s="126">
        <v>3705.0</v>
      </c>
      <c r="Z14" s="50">
        <v>103705.0</v>
      </c>
      <c r="AA14" s="52">
        <f t="shared" si="20"/>
        <v>0.03572633914</v>
      </c>
      <c r="AB14" s="53">
        <f t="shared" si="21"/>
        <v>28.00035</v>
      </c>
      <c r="AC14" s="123">
        <v>1000.0</v>
      </c>
      <c r="AD14" s="124">
        <f t="shared" si="9"/>
        <v>0.000009996501225</v>
      </c>
      <c r="AE14" s="68"/>
      <c r="AF14" s="51"/>
      <c r="AG14" s="54">
        <f t="shared" si="23"/>
        <v>0</v>
      </c>
      <c r="AH14" s="57"/>
      <c r="AI14" s="57"/>
      <c r="AJ14" s="57"/>
      <c r="AK14" s="127" t="s">
        <v>114</v>
      </c>
      <c r="AL14" s="29"/>
      <c r="AM14" s="29"/>
      <c r="AN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3</v>
      </c>
      <c r="J15" s="36" t="s">
        <v>48</v>
      </c>
      <c r="K15" s="38">
        <v>44694.0</v>
      </c>
      <c r="L15" s="39">
        <v>2022.0</v>
      </c>
      <c r="M15" s="117" t="s">
        <v>55</v>
      </c>
      <c r="N15" s="41" t="s">
        <v>71</v>
      </c>
      <c r="O15" s="69">
        <v>6677.0</v>
      </c>
      <c r="P15" s="43" t="s">
        <v>72</v>
      </c>
      <c r="Q15" s="44">
        <f>O15</f>
        <v>6677</v>
      </c>
      <c r="R15" s="43">
        <v>1.0E8</v>
      </c>
      <c r="S15" s="43">
        <v>1.0E8</v>
      </c>
      <c r="T15" s="45" t="s">
        <v>72</v>
      </c>
      <c r="U15" s="69" t="s">
        <v>84</v>
      </c>
      <c r="V15" s="75" t="s">
        <v>55</v>
      </c>
      <c r="W15" s="48" t="s">
        <v>54</v>
      </c>
      <c r="X15" s="50">
        <v>1.0E8</v>
      </c>
      <c r="Y15" s="51" t="s">
        <v>72</v>
      </c>
      <c r="Z15" s="71">
        <f>Q15</f>
        <v>6677</v>
      </c>
      <c r="AA15" s="125" t="s">
        <v>72</v>
      </c>
      <c r="AB15" s="76" t="s">
        <v>84</v>
      </c>
      <c r="AC15" s="77">
        <v>6.9E7</v>
      </c>
      <c r="AD15" s="124">
        <f t="shared" si="9"/>
        <v>0.69</v>
      </c>
      <c r="AE15" s="56"/>
      <c r="AF15" s="51"/>
      <c r="AG15" s="123">
        <v>3.1E7</v>
      </c>
      <c r="AH15" s="57"/>
      <c r="AI15" s="57"/>
      <c r="AJ15" s="57"/>
      <c r="AK15" s="127" t="s">
        <v>85</v>
      </c>
      <c r="AL15" s="29"/>
      <c r="AM15" s="29"/>
      <c r="AN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7</v>
      </c>
      <c r="J16" s="36" t="s">
        <v>48</v>
      </c>
      <c r="K16" s="38">
        <v>45107.0</v>
      </c>
      <c r="L16" s="39">
        <v>2023.0</v>
      </c>
      <c r="M16" s="117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4">O16+P16</f>
        <v>28099</v>
      </c>
      <c r="R16" s="43">
        <v>722470.0</v>
      </c>
      <c r="S16" s="44">
        <f t="shared" ref="S16:S19" si="25">R16*P16</f>
        <v>300547520</v>
      </c>
      <c r="T16" s="45">
        <f t="shared" ref="T16:T19" si="26">P16/Q16</f>
        <v>0.01480479732</v>
      </c>
      <c r="U16" s="46">
        <f t="shared" ref="U16:U19" si="27">Q16*R16/100000000</f>
        <v>203.0068453</v>
      </c>
      <c r="V16" s="61" t="s">
        <v>57</v>
      </c>
      <c r="W16" s="64">
        <v>45597.0</v>
      </c>
      <c r="X16" s="50">
        <v>327150.0</v>
      </c>
      <c r="Y16" s="51">
        <f t="shared" ref="Y16:Y19" si="28">P16-AF16</f>
        <v>416</v>
      </c>
      <c r="Z16" s="50">
        <v>30568.0</v>
      </c>
      <c r="AA16" s="52">
        <f t="shared" ref="AA16:AA19" si="29">Y16/Z16</f>
        <v>0.01360900288</v>
      </c>
      <c r="AB16" s="53">
        <f t="shared" ref="AB16:AB19" si="30">Z16*X16/100000000</f>
        <v>100.003212</v>
      </c>
      <c r="AC16" s="54">
        <f t="shared" ref="AC16:AC19" si="31">X16*Y16</f>
        <v>136094400</v>
      </c>
      <c r="AD16" s="124">
        <f t="shared" si="9"/>
        <v>0.4528215704</v>
      </c>
      <c r="AE16" s="56"/>
      <c r="AF16" s="51"/>
      <c r="AG16" s="54">
        <f>AE16*AF16</f>
        <v>0</v>
      </c>
      <c r="AH16" s="57"/>
      <c r="AI16" s="57"/>
      <c r="AJ16" s="57"/>
      <c r="AK16" s="58"/>
      <c r="AL16" s="29"/>
      <c r="AM16" s="29"/>
      <c r="AN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7</v>
      </c>
      <c r="J17" s="36" t="s">
        <v>48</v>
      </c>
      <c r="K17" s="38">
        <v>45254.0</v>
      </c>
      <c r="L17" s="39">
        <v>2023.0</v>
      </c>
      <c r="M17" s="117" t="s">
        <v>57</v>
      </c>
      <c r="N17" s="41" t="s">
        <v>56</v>
      </c>
      <c r="O17" s="42">
        <v>28099.0</v>
      </c>
      <c r="P17" s="43">
        <v>139.0</v>
      </c>
      <c r="Q17" s="44">
        <f t="shared" si="24"/>
        <v>28238</v>
      </c>
      <c r="R17" s="43">
        <v>722470.0</v>
      </c>
      <c r="S17" s="44">
        <f t="shared" si="25"/>
        <v>100423330</v>
      </c>
      <c r="T17" s="45">
        <f t="shared" si="26"/>
        <v>0.004922444932</v>
      </c>
      <c r="U17" s="46">
        <f t="shared" si="27"/>
        <v>204.0110786</v>
      </c>
      <c r="V17" s="61" t="s">
        <v>57</v>
      </c>
      <c r="W17" s="64">
        <v>45597.0</v>
      </c>
      <c r="X17" s="50">
        <v>327150.0</v>
      </c>
      <c r="Y17" s="51">
        <f t="shared" si="28"/>
        <v>139</v>
      </c>
      <c r="Z17" s="50">
        <v>30568.0</v>
      </c>
      <c r="AA17" s="52">
        <f t="shared" si="29"/>
        <v>0.004547238943</v>
      </c>
      <c r="AB17" s="53">
        <f t="shared" si="30"/>
        <v>100.003212</v>
      </c>
      <c r="AC17" s="54">
        <f t="shared" si="31"/>
        <v>45473850</v>
      </c>
      <c r="AD17" s="124">
        <f t="shared" si="9"/>
        <v>0.4528215704</v>
      </c>
      <c r="AE17" s="56"/>
      <c r="AF17" s="51"/>
      <c r="AG17" s="54">
        <v>0.0</v>
      </c>
      <c r="AH17" s="57"/>
      <c r="AI17" s="57"/>
      <c r="AJ17" s="57"/>
      <c r="AK17" s="58"/>
      <c r="AL17" s="29"/>
      <c r="AM17" s="29"/>
      <c r="AN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5</v>
      </c>
      <c r="J18" s="36" t="s">
        <v>48</v>
      </c>
      <c r="K18" s="38">
        <v>45127.0</v>
      </c>
      <c r="L18" s="39">
        <v>2023.0</v>
      </c>
      <c r="M18" s="117" t="s">
        <v>62</v>
      </c>
      <c r="N18" s="41" t="s">
        <v>56</v>
      </c>
      <c r="O18" s="42">
        <v>373763.0</v>
      </c>
      <c r="P18" s="43">
        <v>4477.0</v>
      </c>
      <c r="Q18" s="44">
        <f t="shared" si="24"/>
        <v>378240</v>
      </c>
      <c r="R18" s="43">
        <v>44680.0</v>
      </c>
      <c r="S18" s="44">
        <f t="shared" si="25"/>
        <v>200032360</v>
      </c>
      <c r="T18" s="45">
        <f t="shared" si="26"/>
        <v>0.01183640017</v>
      </c>
      <c r="U18" s="46">
        <f t="shared" si="27"/>
        <v>168.997632</v>
      </c>
      <c r="V18" s="61" t="s">
        <v>109</v>
      </c>
      <c r="W18" s="64">
        <v>45876.0</v>
      </c>
      <c r="X18" s="77">
        <v>56911.0</v>
      </c>
      <c r="Y18" s="51">
        <f t="shared" si="28"/>
        <v>4477</v>
      </c>
      <c r="Z18" s="77">
        <v>449740.0</v>
      </c>
      <c r="AA18" s="52">
        <f t="shared" si="29"/>
        <v>0.009954640459</v>
      </c>
      <c r="AB18" s="53">
        <f t="shared" si="30"/>
        <v>255.9515314</v>
      </c>
      <c r="AC18" s="54">
        <f t="shared" si="31"/>
        <v>254790547</v>
      </c>
      <c r="AD18" s="124">
        <f t="shared" si="9"/>
        <v>1.273746643</v>
      </c>
      <c r="AE18" s="56"/>
      <c r="AF18" s="51"/>
      <c r="AG18" s="54">
        <f>AE18*AF18</f>
        <v>0</v>
      </c>
      <c r="AH18" s="57"/>
      <c r="AI18" s="57"/>
      <c r="AJ18" s="57"/>
      <c r="AK18" s="58"/>
      <c r="AL18" s="29"/>
      <c r="AM18" s="29"/>
      <c r="AN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5</v>
      </c>
      <c r="J19" s="36" t="s">
        <v>48</v>
      </c>
      <c r="K19" s="38">
        <v>45265.0</v>
      </c>
      <c r="L19" s="39">
        <v>2023.0</v>
      </c>
      <c r="M19" s="60" t="s">
        <v>62</v>
      </c>
      <c r="N19" s="41" t="s">
        <v>56</v>
      </c>
      <c r="O19" s="42">
        <v>382716.0</v>
      </c>
      <c r="P19" s="43">
        <v>2239.0</v>
      </c>
      <c r="Q19" s="44">
        <f t="shared" si="24"/>
        <v>384955</v>
      </c>
      <c r="R19" s="43">
        <v>44680.0</v>
      </c>
      <c r="S19" s="44">
        <f t="shared" si="25"/>
        <v>100038520</v>
      </c>
      <c r="T19" s="45">
        <f t="shared" si="26"/>
        <v>0.005816264239</v>
      </c>
      <c r="U19" s="46">
        <f t="shared" si="27"/>
        <v>171.997894</v>
      </c>
      <c r="V19" s="61" t="s">
        <v>109</v>
      </c>
      <c r="W19" s="64">
        <v>45876.0</v>
      </c>
      <c r="X19" s="77">
        <v>56911.0</v>
      </c>
      <c r="Y19" s="51">
        <f t="shared" si="28"/>
        <v>2239</v>
      </c>
      <c r="Z19" s="77">
        <v>449740.0</v>
      </c>
      <c r="AA19" s="52">
        <f t="shared" si="29"/>
        <v>0.004978431983</v>
      </c>
      <c r="AB19" s="53">
        <f t="shared" si="30"/>
        <v>255.9515314</v>
      </c>
      <c r="AC19" s="54">
        <f t="shared" si="31"/>
        <v>127423729</v>
      </c>
      <c r="AD19" s="124">
        <f t="shared" si="9"/>
        <v>1.273746643</v>
      </c>
      <c r="AE19" s="68"/>
      <c r="AF19" s="51"/>
      <c r="AG19" s="54">
        <v>0.0</v>
      </c>
      <c r="AH19" s="57"/>
      <c r="AI19" s="57"/>
      <c r="AJ19" s="57"/>
      <c r="AK19" s="58"/>
      <c r="AL19" s="29"/>
      <c r="AM19" s="29"/>
      <c r="AN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3"/>
      <c r="AG20" s="85"/>
      <c r="AH20" s="85"/>
      <c r="AI20" s="85"/>
      <c r="AJ20" s="85"/>
      <c r="AK20" s="87"/>
      <c r="AL20" s="8"/>
      <c r="AM20" s="8"/>
      <c r="AN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4145098451</v>
      </c>
      <c r="AD21" s="93">
        <f>AC21/S21</f>
        <v>1.800472631</v>
      </c>
      <c r="AE21" s="91"/>
      <c r="AF21" s="94"/>
      <c r="AG21" s="91"/>
      <c r="AH21" s="91"/>
      <c r="AI21" s="91"/>
      <c r="AJ21" s="91"/>
      <c r="AK21" s="95"/>
      <c r="AL21" s="96"/>
      <c r="AM21" s="96"/>
      <c r="AN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101"/>
      <c r="AG22" s="98"/>
      <c r="AH22" s="98"/>
      <c r="AI22" s="98"/>
      <c r="AJ22" s="98"/>
      <c r="AK22" s="102"/>
      <c r="AL22" s="29"/>
      <c r="AM22" s="29"/>
      <c r="AN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103"/>
      <c r="AL23" s="29"/>
      <c r="AM23" s="29"/>
      <c r="AN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7"/>
      <c r="AL24" s="29"/>
      <c r="AM24" s="29"/>
      <c r="AN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7"/>
      <c r="AL25" s="29"/>
      <c r="AM25" s="29"/>
      <c r="AN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28"/>
      <c r="AD26" s="8"/>
      <c r="AE26" s="8"/>
      <c r="AF26" s="8"/>
      <c r="AG26" s="8"/>
      <c r="AH26" s="8"/>
      <c r="AI26" s="8"/>
      <c r="AJ26" s="8"/>
      <c r="AK26" s="7"/>
      <c r="AL26" s="29"/>
      <c r="AM26" s="29"/>
      <c r="AN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29"/>
      <c r="AD27" s="8"/>
      <c r="AE27" s="8"/>
      <c r="AF27" s="8"/>
      <c r="AG27" s="8"/>
      <c r="AH27" s="8"/>
      <c r="AI27" s="8"/>
      <c r="AJ27" s="8"/>
      <c r="AK27" s="7"/>
      <c r="AL27" s="29"/>
      <c r="AM27" s="29"/>
      <c r="AN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7"/>
      <c r="AL28" s="29"/>
      <c r="AM28" s="29"/>
      <c r="AN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8"/>
      <c r="Q29" s="8"/>
      <c r="R29" s="8"/>
      <c r="S29" s="130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7"/>
      <c r="AL29" s="29"/>
      <c r="AM29" s="29"/>
      <c r="AN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"/>
      <c r="Q30" s="8"/>
      <c r="R30" s="8"/>
      <c r="S30" s="131"/>
      <c r="T30" s="8"/>
      <c r="U30" s="8"/>
      <c r="V30" s="8"/>
      <c r="W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7"/>
      <c r="AL30" s="29"/>
      <c r="AM30" s="29"/>
      <c r="AN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7"/>
      <c r="AL31" s="29"/>
      <c r="AM31" s="29"/>
      <c r="AN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7"/>
      <c r="AL32" s="29"/>
      <c r="AM32" s="29"/>
      <c r="AN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7"/>
      <c r="AL33" s="29"/>
      <c r="AM33" s="29"/>
      <c r="AN33" s="29"/>
    </row>
    <row r="34" ht="16.5" customHeight="1">
      <c r="A34" s="8"/>
      <c r="B34" s="121">
        <v>46022.0</v>
      </c>
      <c r="C34" s="111"/>
      <c r="D34" s="111">
        <f>AC21</f>
        <v>4145098451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7"/>
      <c r="AL34" s="29"/>
      <c r="AM34" s="29"/>
      <c r="AN34" s="29"/>
    </row>
    <row r="35" ht="16.5" customHeight="1">
      <c r="A35" s="8"/>
      <c r="B35" s="113" t="s">
        <v>106</v>
      </c>
      <c r="C35" s="114"/>
      <c r="D35" s="114">
        <f>XIRR(D25:D34,B25:B34)</f>
        <v>0.1547711695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7"/>
      <c r="AL35" s="29"/>
      <c r="AM35" s="29"/>
      <c r="AN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7"/>
      <c r="AL36" s="29"/>
      <c r="AM36" s="29"/>
      <c r="AN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7"/>
      <c r="AL37" s="29"/>
      <c r="AM37" s="29"/>
      <c r="AN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7"/>
      <c r="AL38" s="29"/>
      <c r="AM38" s="29"/>
      <c r="AN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7"/>
      <c r="AL39" s="29"/>
      <c r="AM39" s="29"/>
      <c r="AN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7"/>
      <c r="AL40" s="29"/>
      <c r="AM40" s="29"/>
      <c r="AN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7"/>
      <c r="AL41" s="29"/>
      <c r="AM41" s="29"/>
      <c r="AN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7"/>
      <c r="AL42" s="29"/>
      <c r="AM42" s="29"/>
      <c r="AN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7"/>
      <c r="AL43" s="29"/>
      <c r="AM43" s="29"/>
      <c r="AN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7"/>
      <c r="AL44" s="29"/>
      <c r="AM44" s="29"/>
      <c r="AN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7"/>
      <c r="AL45" s="29"/>
      <c r="AM45" s="29"/>
      <c r="AN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7"/>
      <c r="AL46" s="29"/>
      <c r="AM46" s="29"/>
      <c r="AN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7"/>
      <c r="AL47" s="29"/>
      <c r="AM47" s="29"/>
      <c r="AN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7"/>
      <c r="AL48" s="29"/>
      <c r="AM48" s="29"/>
      <c r="AN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7"/>
      <c r="AL49" s="29"/>
      <c r="AM49" s="29"/>
      <c r="AN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7"/>
      <c r="AL50" s="29"/>
      <c r="AM50" s="29"/>
      <c r="AN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7"/>
      <c r="AL51" s="29"/>
      <c r="AM51" s="29"/>
      <c r="AN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7"/>
      <c r="AL52" s="29"/>
      <c r="AM52" s="29"/>
      <c r="AN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7"/>
      <c r="AL53" s="29"/>
      <c r="AM53" s="29"/>
      <c r="AN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7"/>
      <c r="AL54" s="29"/>
      <c r="AM54" s="29"/>
      <c r="AN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7"/>
      <c r="AL55" s="29"/>
      <c r="AM55" s="29"/>
      <c r="AN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"/>
      <c r="AL56" s="29"/>
      <c r="AM56" s="29"/>
      <c r="AN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7"/>
      <c r="AL57" s="29"/>
      <c r="AM57" s="29"/>
      <c r="AN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"/>
      <c r="AL58" s="29"/>
      <c r="AM58" s="29"/>
      <c r="AN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"/>
      <c r="AL59" s="29"/>
      <c r="AM59" s="29"/>
      <c r="AN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"/>
      <c r="AL60" s="29"/>
      <c r="AM60" s="29"/>
      <c r="AN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7"/>
      <c r="AL61" s="29"/>
      <c r="AM61" s="29"/>
      <c r="AN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"/>
      <c r="AL62" s="29"/>
      <c r="AM62" s="29"/>
      <c r="AN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"/>
      <c r="AL63" s="29"/>
      <c r="AM63" s="29"/>
      <c r="AN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"/>
      <c r="AL64" s="29"/>
      <c r="AM64" s="29"/>
      <c r="AN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7"/>
      <c r="AL65" s="29"/>
      <c r="AM65" s="29"/>
      <c r="AN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7"/>
      <c r="AL66" s="29"/>
      <c r="AM66" s="29"/>
      <c r="AN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7"/>
      <c r="AL67" s="29"/>
      <c r="AM67" s="29"/>
      <c r="AN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7"/>
      <c r="AL68" s="29"/>
      <c r="AM68" s="29"/>
      <c r="AN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7"/>
      <c r="AL69" s="29"/>
      <c r="AM69" s="29"/>
      <c r="AN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7"/>
      <c r="AL70" s="29"/>
      <c r="AM70" s="29"/>
      <c r="AN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7"/>
      <c r="AL71" s="29"/>
      <c r="AM71" s="29"/>
      <c r="AN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7"/>
      <c r="AL72" s="29"/>
      <c r="AM72" s="29"/>
      <c r="AN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"/>
      <c r="AL73" s="29"/>
      <c r="AM73" s="29"/>
      <c r="AN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7"/>
      <c r="AL74" s="29"/>
      <c r="AM74" s="29"/>
      <c r="AN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7"/>
      <c r="AL75" s="29"/>
      <c r="AM75" s="29"/>
      <c r="AN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7"/>
      <c r="AL76" s="29"/>
      <c r="AM76" s="29"/>
      <c r="AN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7"/>
      <c r="AL77" s="29"/>
      <c r="AM77" s="29"/>
      <c r="AN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7"/>
      <c r="AL78" s="29"/>
      <c r="AM78" s="29"/>
      <c r="AN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7"/>
      <c r="AL79" s="29"/>
      <c r="AM79" s="29"/>
      <c r="AN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"/>
      <c r="AL80" s="29"/>
      <c r="AM80" s="29"/>
      <c r="AN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"/>
      <c r="AL81" s="29"/>
      <c r="AM81" s="29"/>
      <c r="AN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"/>
      <c r="AL82" s="29"/>
      <c r="AM82" s="29"/>
      <c r="AN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"/>
      <c r="AL83" s="29"/>
      <c r="AM83" s="29"/>
      <c r="AN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"/>
      <c r="AL84" s="29"/>
      <c r="AM84" s="29"/>
      <c r="AN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"/>
      <c r="AL85" s="29"/>
      <c r="AM85" s="29"/>
      <c r="AN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"/>
      <c r="AL86" s="29"/>
      <c r="AM86" s="29"/>
      <c r="AN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"/>
      <c r="AL87" s="29"/>
      <c r="AM87" s="29"/>
      <c r="AN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"/>
      <c r="AL88" s="29"/>
      <c r="AM88" s="29"/>
      <c r="AN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"/>
      <c r="AL89" s="29"/>
      <c r="AM89" s="29"/>
      <c r="AN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"/>
      <c r="AL90" s="29"/>
      <c r="AM90" s="29"/>
      <c r="AN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"/>
      <c r="AL91" s="29"/>
      <c r="AM91" s="29"/>
      <c r="AN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"/>
      <c r="AL92" s="29"/>
      <c r="AM92" s="29"/>
      <c r="AN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"/>
      <c r="AL93" s="29"/>
      <c r="AM93" s="29"/>
      <c r="AN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"/>
      <c r="AL94" s="29"/>
      <c r="AM94" s="29"/>
      <c r="AN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"/>
      <c r="AL95" s="29"/>
      <c r="AM95" s="29"/>
      <c r="AN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"/>
      <c r="AL96" s="29"/>
      <c r="AM96" s="29"/>
      <c r="AN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"/>
      <c r="AL97" s="29"/>
      <c r="AM97" s="29"/>
      <c r="AN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7"/>
      <c r="AL98" s="29"/>
      <c r="AM98" s="29"/>
      <c r="AN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"/>
      <c r="AL99" s="29"/>
      <c r="AM99" s="29"/>
      <c r="AN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7"/>
      <c r="AL100" s="29"/>
      <c r="AM100" s="29"/>
      <c r="AN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7"/>
      <c r="AL101" s="29"/>
      <c r="AM101" s="29"/>
      <c r="AN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/>
      <c r="AL102" s="29"/>
      <c r="AM102" s="29"/>
      <c r="AN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7"/>
      <c r="AL103" s="29"/>
      <c r="AM103" s="29"/>
      <c r="AN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7"/>
      <c r="AL104" s="29"/>
      <c r="AM104" s="29"/>
      <c r="AN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7"/>
      <c r="AL105" s="29"/>
      <c r="AM105" s="29"/>
      <c r="AN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7"/>
      <c r="AL106" s="29"/>
      <c r="AM106" s="29"/>
      <c r="AN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7"/>
      <c r="AL107" s="29"/>
      <c r="AM107" s="29"/>
      <c r="AN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"/>
      <c r="AL108" s="29"/>
      <c r="AM108" s="29"/>
      <c r="AN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7"/>
      <c r="AL109" s="29"/>
      <c r="AM109" s="29"/>
      <c r="AN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7"/>
      <c r="AL110" s="29"/>
      <c r="AM110" s="29"/>
      <c r="AN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7"/>
      <c r="AL111" s="29"/>
      <c r="AM111" s="29"/>
      <c r="AN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7"/>
      <c r="AL112" s="29"/>
      <c r="AM112" s="29"/>
      <c r="AN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7"/>
      <c r="AL113" s="29"/>
      <c r="AM113" s="29"/>
      <c r="AN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7"/>
      <c r="AL114" s="29"/>
      <c r="AM114" s="29"/>
      <c r="AN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"/>
      <c r="AL115" s="29"/>
      <c r="AM115" s="29"/>
      <c r="AN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7"/>
      <c r="AL116" s="29"/>
      <c r="AM116" s="29"/>
      <c r="AN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7"/>
      <c r="AL117" s="29"/>
      <c r="AM117" s="29"/>
      <c r="AN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7"/>
      <c r="AL118" s="29"/>
      <c r="AM118" s="29"/>
      <c r="AN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7"/>
      <c r="AL119" s="29"/>
      <c r="AM119" s="29"/>
      <c r="AN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7"/>
      <c r="AL120" s="29"/>
      <c r="AM120" s="29"/>
      <c r="AN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29"/>
      <c r="AM121" s="29"/>
      <c r="AN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"/>
      <c r="AL122" s="29"/>
      <c r="AM122" s="29"/>
      <c r="AN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"/>
      <c r="AL123" s="29"/>
      <c r="AM123" s="29"/>
      <c r="AN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7"/>
      <c r="AL124" s="29"/>
      <c r="AM124" s="29"/>
      <c r="AN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"/>
      <c r="AL125" s="29"/>
      <c r="AM125" s="29"/>
      <c r="AN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7"/>
      <c r="AL126" s="29"/>
      <c r="AM126" s="29"/>
      <c r="AN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7"/>
      <c r="AL127" s="29"/>
      <c r="AM127" s="29"/>
      <c r="AN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"/>
      <c r="AL128" s="29"/>
      <c r="AM128" s="29"/>
      <c r="AN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29"/>
      <c r="AM129" s="29"/>
      <c r="AN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7"/>
      <c r="AL130" s="29"/>
      <c r="AM130" s="29"/>
      <c r="AN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7"/>
      <c r="AL131" s="29"/>
      <c r="AM131" s="29"/>
      <c r="AN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7"/>
      <c r="AL132" s="29"/>
      <c r="AM132" s="29"/>
      <c r="AN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7"/>
      <c r="AL133" s="29"/>
      <c r="AM133" s="29"/>
      <c r="AN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7"/>
      <c r="AL134" s="29"/>
      <c r="AM134" s="29"/>
      <c r="AN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7"/>
      <c r="AL135" s="29"/>
      <c r="AM135" s="29"/>
      <c r="AN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7"/>
      <c r="AL136" s="29"/>
      <c r="AM136" s="29"/>
      <c r="AN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7"/>
      <c r="AL137" s="29"/>
      <c r="AM137" s="29"/>
      <c r="AN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7"/>
      <c r="AL138" s="29"/>
      <c r="AM138" s="29"/>
      <c r="AN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7"/>
      <c r="AL139" s="29"/>
      <c r="AM139" s="29"/>
      <c r="AN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7"/>
      <c r="AL140" s="29"/>
      <c r="AM140" s="29"/>
      <c r="AN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7"/>
      <c r="AL141" s="29"/>
      <c r="AM141" s="29"/>
      <c r="AN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7"/>
      <c r="AL142" s="29"/>
      <c r="AM142" s="29"/>
      <c r="AN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7"/>
      <c r="AL143" s="29"/>
      <c r="AM143" s="29"/>
      <c r="AN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"/>
      <c r="AL144" s="29"/>
      <c r="AM144" s="29"/>
      <c r="AN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7"/>
      <c r="AL145" s="29"/>
      <c r="AM145" s="29"/>
      <c r="AN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7"/>
      <c r="AL146" s="29"/>
      <c r="AM146" s="29"/>
      <c r="AN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7"/>
      <c r="AL147" s="29"/>
      <c r="AM147" s="29"/>
      <c r="AN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7"/>
      <c r="AL148" s="29"/>
      <c r="AM148" s="29"/>
      <c r="AN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7"/>
      <c r="AL149" s="29"/>
      <c r="AM149" s="29"/>
      <c r="AN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7"/>
      <c r="AL150" s="29"/>
      <c r="AM150" s="29"/>
      <c r="AN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7"/>
      <c r="AL151" s="29"/>
      <c r="AM151" s="29"/>
      <c r="AN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7"/>
      <c r="AL152" s="29"/>
      <c r="AM152" s="29"/>
      <c r="AN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7"/>
      <c r="AL153" s="29"/>
      <c r="AM153" s="29"/>
      <c r="AN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7"/>
      <c r="AL154" s="29"/>
      <c r="AM154" s="29"/>
      <c r="AN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7"/>
      <c r="AL155" s="29"/>
      <c r="AM155" s="29"/>
      <c r="AN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7"/>
      <c r="AL156" s="29"/>
      <c r="AM156" s="29"/>
      <c r="AN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7"/>
      <c r="AL157" s="29"/>
      <c r="AM157" s="29"/>
      <c r="AN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7"/>
      <c r="AL158" s="29"/>
      <c r="AM158" s="29"/>
      <c r="AN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7"/>
      <c r="AL159" s="29"/>
      <c r="AM159" s="29"/>
      <c r="AN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7"/>
      <c r="AL160" s="29"/>
      <c r="AM160" s="29"/>
      <c r="AN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7"/>
      <c r="AL161" s="29"/>
      <c r="AM161" s="29"/>
      <c r="AN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7"/>
      <c r="AL162" s="29"/>
      <c r="AM162" s="29"/>
      <c r="AN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7"/>
      <c r="AL163" s="29"/>
      <c r="AM163" s="29"/>
      <c r="AN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7"/>
      <c r="AL164" s="29"/>
      <c r="AM164" s="29"/>
      <c r="AN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7"/>
      <c r="AL165" s="29"/>
      <c r="AM165" s="29"/>
      <c r="AN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7"/>
      <c r="AL166" s="29"/>
      <c r="AM166" s="29"/>
      <c r="AN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7"/>
      <c r="AL167" s="29"/>
      <c r="AM167" s="29"/>
      <c r="AN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7"/>
      <c r="AL168" s="29"/>
      <c r="AM168" s="29"/>
      <c r="AN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7"/>
      <c r="AL169" s="29"/>
      <c r="AM169" s="29"/>
      <c r="AN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7"/>
      <c r="AL170" s="29"/>
      <c r="AM170" s="29"/>
      <c r="AN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7"/>
      <c r="AL171" s="29"/>
      <c r="AM171" s="29"/>
      <c r="AN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7"/>
      <c r="AL172" s="29"/>
      <c r="AM172" s="29"/>
      <c r="AN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7"/>
      <c r="AL173" s="29"/>
      <c r="AM173" s="29"/>
      <c r="AN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7"/>
      <c r="AL174" s="29"/>
      <c r="AM174" s="29"/>
      <c r="AN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7"/>
      <c r="AL175" s="29"/>
      <c r="AM175" s="29"/>
      <c r="AN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/>
      <c r="AL176" s="29"/>
      <c r="AM176" s="29"/>
      <c r="AN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7"/>
      <c r="AL177" s="29"/>
      <c r="AM177" s="29"/>
      <c r="AN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7"/>
      <c r="AL178" s="29"/>
      <c r="AM178" s="29"/>
      <c r="AN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7"/>
      <c r="AL179" s="29"/>
      <c r="AM179" s="29"/>
      <c r="AN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7"/>
      <c r="AL180" s="29"/>
      <c r="AM180" s="29"/>
      <c r="AN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7"/>
      <c r="AL181" s="29"/>
      <c r="AM181" s="29"/>
      <c r="AN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7"/>
      <c r="AL182" s="29"/>
      <c r="AM182" s="29"/>
      <c r="AN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7"/>
      <c r="AL183" s="29"/>
      <c r="AM183" s="29"/>
      <c r="AN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7"/>
      <c r="AL184" s="29"/>
      <c r="AM184" s="29"/>
      <c r="AN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7"/>
      <c r="AL185" s="29"/>
      <c r="AM185" s="29"/>
      <c r="AN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7"/>
      <c r="AL186" s="29"/>
      <c r="AM186" s="29"/>
      <c r="AN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7"/>
      <c r="AL187" s="29"/>
      <c r="AM187" s="29"/>
      <c r="AN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7"/>
      <c r="AL188" s="29"/>
      <c r="AM188" s="29"/>
      <c r="AN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7"/>
      <c r="AL189" s="29"/>
      <c r="AM189" s="29"/>
      <c r="AN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7"/>
      <c r="AL190" s="29"/>
      <c r="AM190" s="29"/>
      <c r="AN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7"/>
      <c r="AL191" s="29"/>
      <c r="AM191" s="29"/>
      <c r="AN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7"/>
      <c r="AL192" s="29"/>
      <c r="AM192" s="29"/>
      <c r="AN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7"/>
      <c r="AL193" s="29"/>
      <c r="AM193" s="29"/>
      <c r="AN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7"/>
      <c r="AL194" s="29"/>
      <c r="AM194" s="29"/>
      <c r="AN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7"/>
      <c r="AL195" s="29"/>
      <c r="AM195" s="29"/>
      <c r="AN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7"/>
      <c r="AL196" s="29"/>
      <c r="AM196" s="29"/>
      <c r="AN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7"/>
      <c r="AL197" s="29"/>
      <c r="AM197" s="29"/>
      <c r="AN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7"/>
      <c r="AL198" s="29"/>
      <c r="AM198" s="29"/>
      <c r="AN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7"/>
      <c r="AL199" s="29"/>
      <c r="AM199" s="29"/>
      <c r="AN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7"/>
      <c r="AL200" s="29"/>
      <c r="AM200" s="29"/>
      <c r="AN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7"/>
      <c r="AL201" s="29"/>
      <c r="AM201" s="29"/>
      <c r="AN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7"/>
      <c r="AL202" s="29"/>
      <c r="AM202" s="29"/>
      <c r="AN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7"/>
      <c r="AL203" s="29"/>
      <c r="AM203" s="29"/>
      <c r="AN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7"/>
      <c r="AL204" s="29"/>
      <c r="AM204" s="29"/>
      <c r="AN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7"/>
      <c r="AL205" s="29"/>
      <c r="AM205" s="29"/>
      <c r="AN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7"/>
      <c r="AL206" s="29"/>
      <c r="AM206" s="29"/>
      <c r="AN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7"/>
      <c r="AL207" s="29"/>
      <c r="AM207" s="29"/>
      <c r="AN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7"/>
      <c r="AL208" s="29"/>
      <c r="AM208" s="29"/>
      <c r="AN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7"/>
      <c r="AL209" s="29"/>
      <c r="AM209" s="29"/>
      <c r="AN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7"/>
      <c r="AL210" s="29"/>
      <c r="AM210" s="29"/>
      <c r="AN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7"/>
      <c r="AL211" s="29"/>
      <c r="AM211" s="29"/>
      <c r="AN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7"/>
      <c r="AL212" s="29"/>
      <c r="AM212" s="29"/>
      <c r="AN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7"/>
      <c r="AL213" s="29"/>
      <c r="AM213" s="29"/>
      <c r="AN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7"/>
      <c r="AL214" s="29"/>
      <c r="AM214" s="29"/>
      <c r="AN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7"/>
      <c r="AL215" s="29"/>
      <c r="AM215" s="29"/>
      <c r="AN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7"/>
      <c r="AL216" s="29"/>
      <c r="AM216" s="29"/>
      <c r="AN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7"/>
      <c r="AL217" s="29"/>
      <c r="AM217" s="29"/>
      <c r="AN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7"/>
      <c r="AL218" s="29"/>
      <c r="AM218" s="29"/>
      <c r="AN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7"/>
      <c r="AL219" s="29"/>
      <c r="AM219" s="29"/>
      <c r="AN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7"/>
      <c r="AL220" s="29"/>
      <c r="AM220" s="29"/>
      <c r="AN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7"/>
      <c r="AL221" s="29"/>
      <c r="AM221" s="29"/>
      <c r="AN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7"/>
      <c r="AL222" s="29"/>
      <c r="AM222" s="29"/>
      <c r="AN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7"/>
      <c r="AL223" s="29"/>
      <c r="AM223" s="29"/>
      <c r="AN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7"/>
      <c r="AL224" s="29"/>
      <c r="AM224" s="29"/>
      <c r="AN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7"/>
      <c r="AL225" s="29"/>
      <c r="AM225" s="29"/>
      <c r="AN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7"/>
      <c r="AL226" s="29"/>
      <c r="AM226" s="29"/>
      <c r="AN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7"/>
      <c r="AL227" s="29"/>
      <c r="AM227" s="29"/>
      <c r="AN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7"/>
      <c r="AL228" s="29"/>
      <c r="AM228" s="29"/>
      <c r="AN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7"/>
      <c r="AL229" s="29"/>
      <c r="AM229" s="29"/>
      <c r="AN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7"/>
      <c r="AL230" s="29"/>
      <c r="AM230" s="29"/>
      <c r="AN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7"/>
      <c r="AL231" s="29"/>
      <c r="AM231" s="29"/>
      <c r="AN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7"/>
      <c r="AL232" s="29"/>
      <c r="AM232" s="29"/>
      <c r="AN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7"/>
      <c r="AL233" s="29"/>
      <c r="AM233" s="29"/>
      <c r="AN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7"/>
      <c r="AL234" s="29"/>
      <c r="AM234" s="29"/>
      <c r="AN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7"/>
      <c r="AL235" s="29"/>
      <c r="AM235" s="29"/>
      <c r="AN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44.86"/>
    <col customWidth="1" min="5" max="5" width="12.43"/>
    <col customWidth="1" min="6" max="7" width="11.14"/>
    <col customWidth="1" min="8" max="8" width="15.43"/>
    <col customWidth="1" min="9" max="9" width="13.29"/>
    <col customWidth="1" min="10" max="10" width="13.57"/>
    <col customWidth="1" min="11" max="11" width="16.86"/>
    <col customWidth="1" hidden="1" min="12" max="12" width="14.57"/>
    <col customWidth="1" min="13" max="17" width="13.71"/>
    <col customWidth="1" min="18" max="18" width="14.0"/>
    <col customWidth="1" min="19" max="19" width="17.43"/>
    <col customWidth="1" min="20" max="20" width="10.43"/>
    <col customWidth="1" min="21" max="21" width="15.71"/>
    <col customWidth="1" min="22" max="22" width="14.0"/>
    <col customWidth="1" min="23" max="23" width="11.86"/>
    <col customWidth="1" min="24" max="24" width="13.29"/>
    <col customWidth="1" min="25" max="25" width="14.0"/>
    <col customWidth="1" min="26" max="26" width="17.0"/>
    <col customWidth="1" min="27" max="28" width="14.14"/>
    <col customWidth="1" min="29" max="29" width="17.43"/>
    <col customWidth="1" min="30" max="30" width="11.71"/>
    <col customWidth="1" min="31" max="32" width="14.0"/>
    <col customWidth="1" min="33" max="33" width="17.43"/>
    <col customWidth="1" min="34" max="34" width="37.57"/>
    <col customWidth="1" min="35" max="36" width="17.43"/>
    <col customWidth="1" min="37" max="37" width="23.57"/>
    <col customWidth="1" min="38" max="38" width="3.14"/>
    <col customWidth="1" min="39" max="39" width="10.29"/>
    <col customWidth="1" min="40" max="40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5"/>
      <c r="Z1" s="5"/>
      <c r="AA1" s="5"/>
      <c r="AB1" s="5"/>
      <c r="AC1" s="5"/>
      <c r="AD1" s="5"/>
      <c r="AE1" s="6"/>
      <c r="AF1" s="5"/>
      <c r="AG1" s="5"/>
      <c r="AH1" s="4" t="s">
        <v>1</v>
      </c>
      <c r="AI1" s="4"/>
      <c r="AJ1" s="4"/>
      <c r="AK1" s="7"/>
      <c r="AL1" s="8"/>
      <c r="AM1" s="8" t="s">
        <v>2</v>
      </c>
      <c r="AN1" s="9">
        <v>46112.0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16" t="s">
        <v>115</v>
      </c>
      <c r="W2" s="10"/>
      <c r="X2" s="15"/>
      <c r="Y2" s="16"/>
      <c r="Z2" s="17"/>
      <c r="AA2" s="16"/>
      <c r="AB2" s="16"/>
      <c r="AC2" s="16"/>
      <c r="AD2" s="16"/>
      <c r="AE2" s="14" t="s">
        <v>6</v>
      </c>
      <c r="AF2" s="16"/>
      <c r="AG2" s="16"/>
      <c r="AH2" s="15"/>
      <c r="AI2" s="15"/>
      <c r="AJ2" s="15"/>
      <c r="AK2" s="7"/>
      <c r="AL2" s="8"/>
      <c r="AM2" s="8"/>
      <c r="AN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25" t="s">
        <v>29</v>
      </c>
      <c r="X3" s="27" t="s">
        <v>30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19" t="s">
        <v>35</v>
      </c>
      <c r="AF3" s="19" t="s">
        <v>36</v>
      </c>
      <c r="AG3" s="19" t="s">
        <v>37</v>
      </c>
      <c r="AH3" s="28" t="s">
        <v>38</v>
      </c>
      <c r="AI3" s="28" t="s">
        <v>39</v>
      </c>
      <c r="AJ3" s="28" t="s">
        <v>40</v>
      </c>
      <c r="AK3" s="19" t="s">
        <v>41</v>
      </c>
      <c r="AL3" s="29"/>
      <c r="AM3" s="29"/>
      <c r="AN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DATEDIF(H4,$AN$1,"y")</f>
        <v>7</v>
      </c>
      <c r="J4" s="36" t="s">
        <v>48</v>
      </c>
      <c r="K4" s="38">
        <v>44528.0</v>
      </c>
      <c r="L4" s="39">
        <v>2021.0</v>
      </c>
      <c r="M4" s="4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47" t="s">
        <v>49</v>
      </c>
      <c r="W4" s="48">
        <v>44658.0</v>
      </c>
      <c r="X4" s="50">
        <v>1530000.0</v>
      </c>
      <c r="Y4" s="51">
        <f t="shared" ref="Y4:Y8" si="6">P4-AF4</f>
        <v>65</v>
      </c>
      <c r="Z4" s="50">
        <v>10342.0</v>
      </c>
      <c r="AA4" s="52">
        <f t="shared" ref="AA4:AA9" si="7">Y4/Z4</f>
        <v>0.006285051247</v>
      </c>
      <c r="AB4" s="53">
        <f t="shared" ref="AB4:AB9" si="8">Z4*X4/100000000</f>
        <v>158.2326</v>
      </c>
      <c r="AC4" s="54">
        <f t="shared" ref="AC4:AC9" si="9">X4*Y4</f>
        <v>99450000</v>
      </c>
      <c r="AD4" s="55">
        <f t="shared" ref="AD4:AD19" si="10">AC4/S4</f>
        <v>1</v>
      </c>
      <c r="AE4" s="56"/>
      <c r="AF4" s="51"/>
      <c r="AG4" s="54">
        <f t="shared" ref="AG4:AG8" si="11">AE4*AF4</f>
        <v>0</v>
      </c>
      <c r="AH4" s="122" t="s">
        <v>112</v>
      </c>
      <c r="AI4" s="57" t="s">
        <v>51</v>
      </c>
      <c r="AJ4" s="57" t="s">
        <v>51</v>
      </c>
      <c r="AK4" s="58"/>
      <c r="AL4" s="59"/>
      <c r="AM4" s="29"/>
      <c r="AN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5</v>
      </c>
      <c r="J5" s="36" t="s">
        <v>48</v>
      </c>
      <c r="K5" s="38">
        <v>44498.0</v>
      </c>
      <c r="L5" s="39">
        <v>2021.0</v>
      </c>
      <c r="M5" s="60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61" t="s">
        <v>57</v>
      </c>
      <c r="W5" s="48">
        <v>45644.0</v>
      </c>
      <c r="X5" s="50">
        <v>184960.0</v>
      </c>
      <c r="Y5" s="51">
        <f t="shared" si="6"/>
        <v>5500</v>
      </c>
      <c r="Z5" s="50">
        <v>204246.0</v>
      </c>
      <c r="AA5" s="52">
        <f t="shared" si="7"/>
        <v>0.02692831194</v>
      </c>
      <c r="AB5" s="53">
        <f t="shared" si="8"/>
        <v>377.7734016</v>
      </c>
      <c r="AC5" s="54">
        <f t="shared" si="9"/>
        <v>1017280000</v>
      </c>
      <c r="AD5" s="55">
        <f t="shared" si="10"/>
        <v>9.997837838</v>
      </c>
      <c r="AE5" s="56"/>
      <c r="AF5" s="51"/>
      <c r="AG5" s="54">
        <f t="shared" si="11"/>
        <v>0</v>
      </c>
      <c r="AH5" s="57"/>
      <c r="AI5" s="57"/>
      <c r="AJ5" s="57"/>
      <c r="AK5" s="58" t="s">
        <v>58</v>
      </c>
      <c r="AL5" s="29"/>
      <c r="AM5" s="29"/>
      <c r="AN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5</v>
      </c>
      <c r="J6" s="36" t="s">
        <v>48</v>
      </c>
      <c r="K6" s="38">
        <v>44671.0</v>
      </c>
      <c r="L6" s="39">
        <v>2022.0</v>
      </c>
      <c r="M6" s="60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61" t="s">
        <v>57</v>
      </c>
      <c r="W6" s="48">
        <v>45644.0</v>
      </c>
      <c r="X6" s="50">
        <v>184960.0</v>
      </c>
      <c r="Y6" s="51">
        <f t="shared" si="6"/>
        <v>4766</v>
      </c>
      <c r="Z6" s="50">
        <v>204246.0</v>
      </c>
      <c r="AA6" s="52">
        <f t="shared" si="7"/>
        <v>0.02333460631</v>
      </c>
      <c r="AB6" s="53">
        <f t="shared" si="8"/>
        <v>377.7734016</v>
      </c>
      <c r="AC6" s="54">
        <f t="shared" si="9"/>
        <v>881519360</v>
      </c>
      <c r="AD6" s="55">
        <f t="shared" si="10"/>
        <v>2.93890522</v>
      </c>
      <c r="AE6" s="56"/>
      <c r="AF6" s="51"/>
      <c r="AG6" s="54">
        <f t="shared" si="11"/>
        <v>0</v>
      </c>
      <c r="AH6" s="57"/>
      <c r="AI6" s="57"/>
      <c r="AJ6" s="57"/>
      <c r="AK6" s="58" t="s">
        <v>58</v>
      </c>
      <c r="AL6" s="29"/>
      <c r="AM6" s="29"/>
      <c r="AN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5</v>
      </c>
      <c r="J7" s="36" t="s">
        <v>48</v>
      </c>
      <c r="K7" s="38">
        <v>44491.0</v>
      </c>
      <c r="L7" s="39">
        <v>2021.0</v>
      </c>
      <c r="M7" s="60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2">R7*P7</f>
        <v>99989070</v>
      </c>
      <c r="T7" s="45">
        <f t="shared" si="4"/>
        <v>0.05262697635</v>
      </c>
      <c r="U7" s="46">
        <f t="shared" si="5"/>
        <v>18.9995848</v>
      </c>
      <c r="V7" s="61" t="s">
        <v>62</v>
      </c>
      <c r="W7" s="64">
        <v>45857.0</v>
      </c>
      <c r="X7" s="50">
        <v>235000.0</v>
      </c>
      <c r="Y7" s="51">
        <f t="shared" si="6"/>
        <v>3009</v>
      </c>
      <c r="Z7" s="77">
        <v>92764.0</v>
      </c>
      <c r="AA7" s="52">
        <f t="shared" si="7"/>
        <v>0.03243715234</v>
      </c>
      <c r="AB7" s="53">
        <f t="shared" si="8"/>
        <v>217.9954</v>
      </c>
      <c r="AC7" s="54">
        <f t="shared" si="9"/>
        <v>707115000</v>
      </c>
      <c r="AD7" s="55">
        <f t="shared" si="10"/>
        <v>7.071922961</v>
      </c>
      <c r="AE7" s="56"/>
      <c r="AF7" s="51"/>
      <c r="AG7" s="54">
        <f t="shared" si="11"/>
        <v>0</v>
      </c>
      <c r="AH7" s="57"/>
      <c r="AI7" s="57"/>
      <c r="AJ7" s="57"/>
      <c r="AK7" s="58" t="s">
        <v>58</v>
      </c>
      <c r="AL7" s="29"/>
      <c r="AM7" s="29"/>
      <c r="AN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5</v>
      </c>
      <c r="J8" s="36" t="s">
        <v>48</v>
      </c>
      <c r="K8" s="38">
        <v>44932.0</v>
      </c>
      <c r="L8" s="39">
        <v>2023.0</v>
      </c>
      <c r="M8" s="117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2"/>
        <v>99947890</v>
      </c>
      <c r="T8" s="45">
        <f t="shared" si="4"/>
        <v>0.004422501106</v>
      </c>
      <c r="U8" s="46">
        <f t="shared" si="5"/>
        <v>225.9985642</v>
      </c>
      <c r="V8" s="61" t="s">
        <v>66</v>
      </c>
      <c r="W8" s="48">
        <v>45563.0</v>
      </c>
      <c r="X8" s="50">
        <v>190520.0</v>
      </c>
      <c r="Y8" s="51">
        <f t="shared" si="6"/>
        <v>610</v>
      </c>
      <c r="Z8" s="77">
        <v>166385.0</v>
      </c>
      <c r="AA8" s="52">
        <f t="shared" si="7"/>
        <v>0.003666195871</v>
      </c>
      <c r="AB8" s="53">
        <f t="shared" si="8"/>
        <v>316.996702</v>
      </c>
      <c r="AC8" s="54">
        <f t="shared" si="9"/>
        <v>116217200</v>
      </c>
      <c r="AD8" s="55">
        <f t="shared" si="10"/>
        <v>1.162777924</v>
      </c>
      <c r="AE8" s="56"/>
      <c r="AF8" s="51"/>
      <c r="AG8" s="54">
        <f t="shared" si="11"/>
        <v>0</v>
      </c>
      <c r="AH8" s="57"/>
      <c r="AI8" s="57"/>
      <c r="AJ8" s="57"/>
      <c r="AK8" s="58"/>
      <c r="AL8" s="29"/>
      <c r="AM8" s="29"/>
      <c r="AN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5</v>
      </c>
      <c r="J9" s="36" t="s">
        <v>48</v>
      </c>
      <c r="K9" s="38">
        <v>45562.0</v>
      </c>
      <c r="L9" s="39">
        <v>2024.0</v>
      </c>
      <c r="M9" s="117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2"/>
        <v>200046000</v>
      </c>
      <c r="T9" s="45">
        <f t="shared" si="4"/>
        <v>0.006310665024</v>
      </c>
      <c r="U9" s="46">
        <f t="shared" si="5"/>
        <v>316.996702</v>
      </c>
      <c r="V9" s="61" t="s">
        <v>66</v>
      </c>
      <c r="W9" s="48">
        <v>45563.0</v>
      </c>
      <c r="X9" s="50">
        <v>190520.0</v>
      </c>
      <c r="Y9" s="51">
        <v>1050.0</v>
      </c>
      <c r="Z9" s="77">
        <v>166385.0</v>
      </c>
      <c r="AA9" s="52">
        <f t="shared" si="7"/>
        <v>0.006310665024</v>
      </c>
      <c r="AB9" s="53">
        <f t="shared" si="8"/>
        <v>316.996702</v>
      </c>
      <c r="AC9" s="54">
        <f t="shared" si="9"/>
        <v>200046000</v>
      </c>
      <c r="AD9" s="55">
        <f t="shared" si="10"/>
        <v>1</v>
      </c>
      <c r="AE9" s="68"/>
      <c r="AF9" s="51"/>
      <c r="AG9" s="54">
        <v>0.0</v>
      </c>
      <c r="AH9" s="57"/>
      <c r="AI9" s="57"/>
      <c r="AJ9" s="57"/>
      <c r="AK9" s="58"/>
      <c r="AL9" s="29"/>
      <c r="AM9" s="29"/>
      <c r="AN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6</v>
      </c>
      <c r="J10" s="36" t="s">
        <v>48</v>
      </c>
      <c r="K10" s="38">
        <v>44886.0</v>
      </c>
      <c r="L10" s="39">
        <v>2022.0</v>
      </c>
      <c r="M10" s="117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3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61" t="s">
        <v>55</v>
      </c>
      <c r="W10" s="64">
        <v>44944.0</v>
      </c>
      <c r="X10" s="50">
        <v>1.0E8</v>
      </c>
      <c r="Y10" s="51" t="s">
        <v>72</v>
      </c>
      <c r="Z10" s="71">
        <f t="shared" ref="Z10:Z11" si="14">Q10</f>
        <v>7356025</v>
      </c>
      <c r="AA10" s="52"/>
      <c r="AB10" s="72" t="s">
        <v>73</v>
      </c>
      <c r="AC10" s="50">
        <v>1.0E8</v>
      </c>
      <c r="AD10" s="55">
        <f t="shared" si="10"/>
        <v>1</v>
      </c>
      <c r="AE10" s="68"/>
      <c r="AF10" s="51"/>
      <c r="AG10" s="54"/>
      <c r="AH10" s="57"/>
      <c r="AI10" s="57"/>
      <c r="AJ10" s="57"/>
      <c r="AK10" s="58"/>
      <c r="AL10" s="29"/>
      <c r="AM10" s="29"/>
      <c r="AN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6</v>
      </c>
      <c r="J11" s="36" t="s">
        <v>48</v>
      </c>
      <c r="K11" s="38">
        <v>44944.0</v>
      </c>
      <c r="L11" s="39">
        <v>2023.0</v>
      </c>
      <c r="M11" s="117" t="s">
        <v>55</v>
      </c>
      <c r="N11" s="41" t="s">
        <v>71</v>
      </c>
      <c r="O11" s="69">
        <v>7356025.0</v>
      </c>
      <c r="P11" s="43" t="s">
        <v>72</v>
      </c>
      <c r="Q11" s="44">
        <f t="shared" si="13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61" t="s">
        <v>55</v>
      </c>
      <c r="W11" s="64">
        <v>44944.0</v>
      </c>
      <c r="X11" s="50">
        <v>2.0E8</v>
      </c>
      <c r="Y11" s="51" t="s">
        <v>72</v>
      </c>
      <c r="Z11" s="71">
        <f t="shared" si="14"/>
        <v>7356025</v>
      </c>
      <c r="AA11" s="52"/>
      <c r="AB11" s="72" t="s">
        <v>73</v>
      </c>
      <c r="AC11" s="50">
        <v>2.0E8</v>
      </c>
      <c r="AD11" s="55">
        <f t="shared" si="10"/>
        <v>1</v>
      </c>
      <c r="AE11" s="68"/>
      <c r="AF11" s="51"/>
      <c r="AG11" s="54"/>
      <c r="AH11" s="57"/>
      <c r="AI11" s="57"/>
      <c r="AJ11" s="57"/>
      <c r="AK11" s="58"/>
      <c r="AL11" s="29"/>
      <c r="AM11" s="29"/>
      <c r="AN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8</v>
      </c>
      <c r="J12" s="36" t="s">
        <v>48</v>
      </c>
      <c r="K12" s="38">
        <v>44715.0</v>
      </c>
      <c r="L12" s="39">
        <v>2022.0</v>
      </c>
      <c r="M12" s="117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5">O12+P12</f>
        <v>586190</v>
      </c>
      <c r="R12" s="43">
        <v>32243.0</v>
      </c>
      <c r="S12" s="44">
        <f t="shared" ref="S12:S14" si="16">R12*P12</f>
        <v>99985543</v>
      </c>
      <c r="T12" s="45">
        <f t="shared" ref="T12:T14" si="17">P12/Q12</f>
        <v>0.005290093656</v>
      </c>
      <c r="U12" s="46">
        <f t="shared" ref="U12:U14" si="18">Q12*R12/100000000</f>
        <v>189.0052417</v>
      </c>
      <c r="V12" s="61" t="s">
        <v>62</v>
      </c>
      <c r="W12" s="48">
        <v>45317.0</v>
      </c>
      <c r="X12" s="50">
        <v>34155.0</v>
      </c>
      <c r="Y12" s="51">
        <f t="shared" ref="Y12:Y13" si="19">P12-AF12</f>
        <v>3101</v>
      </c>
      <c r="Z12" s="50">
        <v>661696.0</v>
      </c>
      <c r="AA12" s="52">
        <f t="shared" ref="AA12:AA14" si="20">Y12/Z12</f>
        <v>0.004686442112</v>
      </c>
      <c r="AB12" s="53">
        <f t="shared" ref="AB12:AB14" si="21">Z12*X12/100000000</f>
        <v>226.0022688</v>
      </c>
      <c r="AC12" s="123">
        <f t="shared" ref="AC12:AC13" si="22">X12*Y12</f>
        <v>105914655</v>
      </c>
      <c r="AD12" s="55">
        <f t="shared" si="10"/>
        <v>1.059299693</v>
      </c>
      <c r="AE12" s="56"/>
      <c r="AF12" s="51"/>
      <c r="AG12" s="54">
        <f t="shared" ref="AG12:AG14" si="23">AE12*AF12</f>
        <v>0</v>
      </c>
      <c r="AH12" s="57"/>
      <c r="AI12" s="57"/>
      <c r="AJ12" s="57"/>
      <c r="AK12" s="58"/>
      <c r="AL12" s="29"/>
      <c r="AM12" s="29"/>
      <c r="AN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8</v>
      </c>
      <c r="J13" s="36" t="s">
        <v>48</v>
      </c>
      <c r="K13" s="38">
        <v>44936.0</v>
      </c>
      <c r="L13" s="39">
        <v>2023.0</v>
      </c>
      <c r="M13" s="117" t="s">
        <v>62</v>
      </c>
      <c r="N13" s="33" t="s">
        <v>56</v>
      </c>
      <c r="O13" s="66">
        <v>583089.0</v>
      </c>
      <c r="P13" s="43">
        <v>2482.0</v>
      </c>
      <c r="Q13" s="44">
        <f t="shared" si="15"/>
        <v>585571</v>
      </c>
      <c r="R13" s="43">
        <v>40304.0</v>
      </c>
      <c r="S13" s="44">
        <f t="shared" si="16"/>
        <v>100034528</v>
      </c>
      <c r="T13" s="45">
        <f t="shared" si="17"/>
        <v>0.004238597881</v>
      </c>
      <c r="U13" s="46">
        <f t="shared" si="18"/>
        <v>236.0085358</v>
      </c>
      <c r="V13" s="61" t="s">
        <v>62</v>
      </c>
      <c r="W13" s="48">
        <v>45317.0</v>
      </c>
      <c r="X13" s="50">
        <v>34155.0</v>
      </c>
      <c r="Y13" s="51">
        <f t="shared" si="19"/>
        <v>2482</v>
      </c>
      <c r="Z13" s="50">
        <v>661696.0</v>
      </c>
      <c r="AA13" s="52">
        <f t="shared" si="20"/>
        <v>0.003750967212</v>
      </c>
      <c r="AB13" s="53">
        <f t="shared" si="21"/>
        <v>226.0022688</v>
      </c>
      <c r="AC13" s="123">
        <f t="shared" si="22"/>
        <v>84772710</v>
      </c>
      <c r="AD13" s="55">
        <f t="shared" si="10"/>
        <v>0.8474344978</v>
      </c>
      <c r="AE13" s="56"/>
      <c r="AF13" s="51"/>
      <c r="AG13" s="54">
        <f t="shared" si="23"/>
        <v>0</v>
      </c>
      <c r="AH13" s="57"/>
      <c r="AI13" s="57"/>
      <c r="AJ13" s="57"/>
      <c r="AK13" s="58"/>
      <c r="AL13" s="29"/>
      <c r="AM13" s="29"/>
      <c r="AN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6</v>
      </c>
      <c r="J14" s="36" t="s">
        <v>48</v>
      </c>
      <c r="K14" s="38">
        <v>44683.0</v>
      </c>
      <c r="L14" s="39">
        <v>2022.0</v>
      </c>
      <c r="M14" s="117" t="s">
        <v>55</v>
      </c>
      <c r="N14" s="41" t="s">
        <v>56</v>
      </c>
      <c r="O14" s="42">
        <v>100000.0</v>
      </c>
      <c r="P14" s="43">
        <v>3705.0</v>
      </c>
      <c r="Q14" s="44">
        <f t="shared" si="15"/>
        <v>103705</v>
      </c>
      <c r="R14" s="43">
        <v>27000.0</v>
      </c>
      <c r="S14" s="44">
        <f t="shared" si="16"/>
        <v>100035000</v>
      </c>
      <c r="T14" s="45">
        <f t="shared" si="17"/>
        <v>0.03572633914</v>
      </c>
      <c r="U14" s="46">
        <f t="shared" si="18"/>
        <v>28.00035</v>
      </c>
      <c r="V14" s="61" t="s">
        <v>54</v>
      </c>
      <c r="W14" s="48">
        <v>44684.0</v>
      </c>
      <c r="X14" s="77">
        <v>0.0</v>
      </c>
      <c r="Y14" s="126">
        <v>0.0</v>
      </c>
      <c r="Z14" s="50">
        <v>103705.0</v>
      </c>
      <c r="AA14" s="52">
        <f t="shared" si="20"/>
        <v>0</v>
      </c>
      <c r="AB14" s="53">
        <f t="shared" si="21"/>
        <v>0</v>
      </c>
      <c r="AC14" s="123">
        <v>1000.0</v>
      </c>
      <c r="AD14" s="55">
        <f t="shared" si="10"/>
        <v>0.000009996501225</v>
      </c>
      <c r="AE14" s="68"/>
      <c r="AF14" s="51"/>
      <c r="AG14" s="54">
        <f t="shared" si="23"/>
        <v>0</v>
      </c>
      <c r="AH14" s="57"/>
      <c r="AI14" s="57"/>
      <c r="AJ14" s="57"/>
      <c r="AK14" s="127" t="s">
        <v>114</v>
      </c>
      <c r="AL14" s="29"/>
      <c r="AM14" s="29"/>
      <c r="AN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4</v>
      </c>
      <c r="J15" s="36" t="s">
        <v>48</v>
      </c>
      <c r="K15" s="38">
        <v>44694.0</v>
      </c>
      <c r="L15" s="39">
        <v>2022.0</v>
      </c>
      <c r="M15" s="117" t="s">
        <v>55</v>
      </c>
      <c r="N15" s="41" t="s">
        <v>71</v>
      </c>
      <c r="O15" s="69">
        <v>6677.0</v>
      </c>
      <c r="P15" s="43" t="s">
        <v>72</v>
      </c>
      <c r="Q15" s="44">
        <f>O15</f>
        <v>6677</v>
      </c>
      <c r="R15" s="43">
        <v>1.0E8</v>
      </c>
      <c r="S15" s="43">
        <v>1.0E8</v>
      </c>
      <c r="T15" s="45" t="s">
        <v>72</v>
      </c>
      <c r="U15" s="69" t="s">
        <v>84</v>
      </c>
      <c r="V15" s="75" t="s">
        <v>55</v>
      </c>
      <c r="W15" s="48" t="s">
        <v>54</v>
      </c>
      <c r="X15" s="50">
        <v>1.0E8</v>
      </c>
      <c r="Y15" s="51" t="s">
        <v>72</v>
      </c>
      <c r="Z15" s="71">
        <f>Q15</f>
        <v>6677</v>
      </c>
      <c r="AA15" s="52"/>
      <c r="AB15" s="76" t="s">
        <v>84</v>
      </c>
      <c r="AC15" s="77">
        <v>6.9E7</v>
      </c>
      <c r="AD15" s="55">
        <f t="shared" si="10"/>
        <v>0.69</v>
      </c>
      <c r="AE15" s="56"/>
      <c r="AF15" s="51"/>
      <c r="AG15" s="54"/>
      <c r="AH15" s="57"/>
      <c r="AI15" s="57"/>
      <c r="AJ15" s="57"/>
      <c r="AK15" s="58" t="s">
        <v>85</v>
      </c>
      <c r="AL15" s="29"/>
      <c r="AM15" s="29"/>
      <c r="AN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7</v>
      </c>
      <c r="J16" s="36" t="s">
        <v>48</v>
      </c>
      <c r="K16" s="38">
        <v>45107.0</v>
      </c>
      <c r="L16" s="39">
        <v>2023.0</v>
      </c>
      <c r="M16" s="117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4">O16+P16</f>
        <v>28099</v>
      </c>
      <c r="R16" s="43">
        <v>722470.0</v>
      </c>
      <c r="S16" s="44">
        <f t="shared" ref="S16:S19" si="25">R16*P16</f>
        <v>300547520</v>
      </c>
      <c r="T16" s="45">
        <f t="shared" ref="T16:T19" si="26">P16/Q16</f>
        <v>0.01480479732</v>
      </c>
      <c r="U16" s="46">
        <f t="shared" ref="U16:U19" si="27">Q16*R16/100000000</f>
        <v>203.0068453</v>
      </c>
      <c r="V16" s="61" t="s">
        <v>57</v>
      </c>
      <c r="W16" s="64">
        <v>45597.0</v>
      </c>
      <c r="X16" s="50">
        <v>327150.0</v>
      </c>
      <c r="Y16" s="51">
        <f t="shared" ref="Y16:Y19" si="28">P16-AF16</f>
        <v>416</v>
      </c>
      <c r="Z16" s="50">
        <v>30568.0</v>
      </c>
      <c r="AA16" s="52">
        <f t="shared" ref="AA16:AA19" si="29">Y16/Z16</f>
        <v>0.01360900288</v>
      </c>
      <c r="AB16" s="53">
        <f t="shared" ref="AB16:AB19" si="30">Z16*X16/100000000</f>
        <v>100.003212</v>
      </c>
      <c r="AC16" s="54">
        <f t="shared" ref="AC16:AC19" si="31">X16*Y16</f>
        <v>136094400</v>
      </c>
      <c r="AD16" s="55">
        <f t="shared" si="10"/>
        <v>0.4528215704</v>
      </c>
      <c r="AE16" s="56"/>
      <c r="AF16" s="51"/>
      <c r="AG16" s="54">
        <f>AE16*AF16</f>
        <v>0</v>
      </c>
      <c r="AH16" s="57" t="s">
        <v>88</v>
      </c>
      <c r="AI16" s="57" t="s">
        <v>89</v>
      </c>
      <c r="AJ16" s="57" t="s">
        <v>90</v>
      </c>
      <c r="AK16" s="58" t="s">
        <v>91</v>
      </c>
      <c r="AL16" s="29"/>
      <c r="AM16" s="29"/>
      <c r="AN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7</v>
      </c>
      <c r="J17" s="36" t="s">
        <v>48</v>
      </c>
      <c r="K17" s="38">
        <v>45254.0</v>
      </c>
      <c r="L17" s="39">
        <v>2023.0</v>
      </c>
      <c r="M17" s="117" t="s">
        <v>57</v>
      </c>
      <c r="N17" s="41" t="s">
        <v>56</v>
      </c>
      <c r="O17" s="42">
        <v>28099.0</v>
      </c>
      <c r="P17" s="43">
        <v>139.0</v>
      </c>
      <c r="Q17" s="44">
        <f t="shared" si="24"/>
        <v>28238</v>
      </c>
      <c r="R17" s="43">
        <v>722470.0</v>
      </c>
      <c r="S17" s="44">
        <f t="shared" si="25"/>
        <v>100423330</v>
      </c>
      <c r="T17" s="45">
        <f t="shared" si="26"/>
        <v>0.004922444932</v>
      </c>
      <c r="U17" s="46">
        <f t="shared" si="27"/>
        <v>204.0110786</v>
      </c>
      <c r="V17" s="61" t="s">
        <v>57</v>
      </c>
      <c r="W17" s="64">
        <v>45597.0</v>
      </c>
      <c r="X17" s="50">
        <v>327150.0</v>
      </c>
      <c r="Y17" s="51">
        <f t="shared" si="28"/>
        <v>139</v>
      </c>
      <c r="Z17" s="50">
        <v>30568.0</v>
      </c>
      <c r="AA17" s="52">
        <f t="shared" si="29"/>
        <v>0.004547238943</v>
      </c>
      <c r="AB17" s="53">
        <f t="shared" si="30"/>
        <v>100.003212</v>
      </c>
      <c r="AC17" s="54">
        <f t="shared" si="31"/>
        <v>45473850</v>
      </c>
      <c r="AD17" s="55">
        <f t="shared" si="10"/>
        <v>0.4528215704</v>
      </c>
      <c r="AE17" s="56"/>
      <c r="AF17" s="51"/>
      <c r="AG17" s="54">
        <v>0.0</v>
      </c>
      <c r="AH17" s="57"/>
      <c r="AI17" s="57"/>
      <c r="AJ17" s="57"/>
      <c r="AK17" s="58" t="s">
        <v>91</v>
      </c>
      <c r="AL17" s="29"/>
      <c r="AM17" s="29"/>
      <c r="AN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5</v>
      </c>
      <c r="J18" s="36" t="s">
        <v>48</v>
      </c>
      <c r="K18" s="38">
        <v>45127.0</v>
      </c>
      <c r="L18" s="39">
        <v>2023.0</v>
      </c>
      <c r="M18" s="117" t="s">
        <v>62</v>
      </c>
      <c r="N18" s="41" t="s">
        <v>56</v>
      </c>
      <c r="O18" s="42">
        <v>373763.0</v>
      </c>
      <c r="P18" s="43">
        <v>4477.0</v>
      </c>
      <c r="Q18" s="44">
        <f t="shared" si="24"/>
        <v>378240</v>
      </c>
      <c r="R18" s="43">
        <v>44680.0</v>
      </c>
      <c r="S18" s="44">
        <f t="shared" si="25"/>
        <v>200032360</v>
      </c>
      <c r="T18" s="45">
        <f t="shared" si="26"/>
        <v>0.01183640017</v>
      </c>
      <c r="U18" s="46">
        <f t="shared" si="27"/>
        <v>168.997632</v>
      </c>
      <c r="V18" s="61" t="s">
        <v>109</v>
      </c>
      <c r="W18" s="64">
        <v>45876.0</v>
      </c>
      <c r="X18" s="77">
        <v>56911.0</v>
      </c>
      <c r="Y18" s="51">
        <f t="shared" si="28"/>
        <v>4477</v>
      </c>
      <c r="Z18" s="77">
        <v>449740.0</v>
      </c>
      <c r="AA18" s="52">
        <f t="shared" si="29"/>
        <v>0.009954640459</v>
      </c>
      <c r="AB18" s="53">
        <f t="shared" si="30"/>
        <v>255.9515314</v>
      </c>
      <c r="AC18" s="54">
        <f t="shared" si="31"/>
        <v>254790547</v>
      </c>
      <c r="AD18" s="55">
        <f t="shared" si="10"/>
        <v>1.273746643</v>
      </c>
      <c r="AE18" s="56"/>
      <c r="AF18" s="51"/>
      <c r="AG18" s="54">
        <f>AE18*AF18</f>
        <v>0</v>
      </c>
      <c r="AH18" s="57" t="s">
        <v>95</v>
      </c>
      <c r="AI18" s="57" t="s">
        <v>96</v>
      </c>
      <c r="AJ18" s="57" t="s">
        <v>97</v>
      </c>
      <c r="AK18" s="58"/>
      <c r="AL18" s="29"/>
      <c r="AM18" s="29"/>
      <c r="AN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5</v>
      </c>
      <c r="J19" s="36" t="s">
        <v>48</v>
      </c>
      <c r="K19" s="38">
        <v>45265.0</v>
      </c>
      <c r="L19" s="39">
        <v>2023.0</v>
      </c>
      <c r="M19" s="60" t="s">
        <v>62</v>
      </c>
      <c r="N19" s="41" t="s">
        <v>56</v>
      </c>
      <c r="O19" s="42">
        <v>382716.0</v>
      </c>
      <c r="P19" s="43">
        <v>2239.0</v>
      </c>
      <c r="Q19" s="44">
        <f t="shared" si="24"/>
        <v>384955</v>
      </c>
      <c r="R19" s="43">
        <v>44680.0</v>
      </c>
      <c r="S19" s="44">
        <f t="shared" si="25"/>
        <v>100038520</v>
      </c>
      <c r="T19" s="45">
        <f t="shared" si="26"/>
        <v>0.005816264239</v>
      </c>
      <c r="U19" s="46">
        <f t="shared" si="27"/>
        <v>171.997894</v>
      </c>
      <c r="V19" s="61" t="s">
        <v>109</v>
      </c>
      <c r="W19" s="64">
        <v>45876.0</v>
      </c>
      <c r="X19" s="77">
        <v>56911.0</v>
      </c>
      <c r="Y19" s="51">
        <f t="shared" si="28"/>
        <v>2239</v>
      </c>
      <c r="Z19" s="77">
        <v>449740.0</v>
      </c>
      <c r="AA19" s="52">
        <f t="shared" si="29"/>
        <v>0.004978431983</v>
      </c>
      <c r="AB19" s="53">
        <f t="shared" si="30"/>
        <v>255.9515314</v>
      </c>
      <c r="AC19" s="54">
        <f t="shared" si="31"/>
        <v>127423729</v>
      </c>
      <c r="AD19" s="55">
        <f t="shared" si="10"/>
        <v>1.273746643</v>
      </c>
      <c r="AE19" s="68"/>
      <c r="AF19" s="51"/>
      <c r="AG19" s="54">
        <v>0.0</v>
      </c>
      <c r="AH19" s="57" t="s">
        <v>95</v>
      </c>
      <c r="AI19" s="57" t="s">
        <v>96</v>
      </c>
      <c r="AJ19" s="57" t="s">
        <v>99</v>
      </c>
      <c r="AK19" s="58"/>
      <c r="AL19" s="29"/>
      <c r="AM19" s="29"/>
      <c r="AN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3"/>
      <c r="AG20" s="85"/>
      <c r="AH20" s="85"/>
      <c r="AI20" s="85"/>
      <c r="AJ20" s="85"/>
      <c r="AK20" s="87"/>
      <c r="AL20" s="8"/>
      <c r="AM20" s="8"/>
      <c r="AN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4145098451</v>
      </c>
      <c r="AD21" s="93">
        <f>AC21/S21</f>
        <v>1.800472631</v>
      </c>
      <c r="AE21" s="91"/>
      <c r="AF21" s="94"/>
      <c r="AG21" s="91"/>
      <c r="AH21" s="91"/>
      <c r="AI21" s="91"/>
      <c r="AJ21" s="91"/>
      <c r="AK21" s="95"/>
      <c r="AL21" s="96"/>
      <c r="AM21" s="96"/>
      <c r="AN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101"/>
      <c r="AG22" s="98"/>
      <c r="AH22" s="98"/>
      <c r="AI22" s="98"/>
      <c r="AJ22" s="98"/>
      <c r="AK22" s="102"/>
      <c r="AL22" s="29"/>
      <c r="AM22" s="29"/>
      <c r="AN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29"/>
      <c r="AM23" s="29"/>
      <c r="AN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7"/>
      <c r="AL24" s="29"/>
      <c r="AM24" s="29"/>
      <c r="AN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132"/>
      <c r="J25" s="97"/>
      <c r="K25" s="97"/>
      <c r="L25" s="97"/>
      <c r="M25" s="97"/>
      <c r="N25" s="97"/>
      <c r="O25" s="9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7"/>
      <c r="AL25" s="29"/>
      <c r="AM25" s="29"/>
      <c r="AN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133">
        <v>2.526E9</v>
      </c>
      <c r="J26" s="97"/>
      <c r="K26" s="97"/>
      <c r="L26" s="97"/>
      <c r="M26" s="97"/>
      <c r="N26" s="97"/>
      <c r="O26" s="97"/>
      <c r="P26" s="8"/>
      <c r="Q26" s="9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7"/>
      <c r="AL26" s="29"/>
      <c r="AM26" s="29"/>
      <c r="AN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7"/>
      <c r="AL27" s="29"/>
      <c r="AM27" s="29"/>
      <c r="AN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7"/>
      <c r="AL28" s="29"/>
      <c r="AM28" s="29"/>
      <c r="AN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7"/>
      <c r="AL29" s="29"/>
      <c r="AM29" s="29"/>
      <c r="AN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7"/>
      <c r="AL30" s="29"/>
      <c r="AM30" s="29"/>
      <c r="AN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7"/>
      <c r="AL31" s="29"/>
      <c r="AM31" s="29"/>
      <c r="AN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7"/>
      <c r="AL32" s="29"/>
      <c r="AM32" s="29"/>
      <c r="AN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7"/>
      <c r="AL33" s="29"/>
      <c r="AM33" s="29"/>
      <c r="AN33" s="29"/>
    </row>
    <row r="34" ht="16.5" customHeight="1">
      <c r="A34" s="8"/>
      <c r="B34" s="134">
        <v>46112.0</v>
      </c>
      <c r="C34" s="111"/>
      <c r="D34" s="111">
        <f>AC21</f>
        <v>4145098451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7"/>
      <c r="AL34" s="29"/>
      <c r="AM34" s="29"/>
      <c r="AN34" s="29"/>
    </row>
    <row r="35" ht="16.5" customHeight="1">
      <c r="A35" s="8"/>
      <c r="B35" s="113" t="s">
        <v>106</v>
      </c>
      <c r="C35" s="114"/>
      <c r="D35" s="114">
        <f>XIRR(D25:D34,B25:B34)</f>
        <v>0.1438590156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7"/>
      <c r="AL35" s="29"/>
      <c r="AM35" s="29"/>
      <c r="AN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7"/>
      <c r="AL36" s="29"/>
      <c r="AM36" s="29"/>
      <c r="AN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7"/>
      <c r="AL37" s="29"/>
      <c r="AM37" s="29"/>
      <c r="AN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7"/>
      <c r="AL38" s="29"/>
      <c r="AM38" s="29"/>
      <c r="AN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7"/>
      <c r="AL39" s="29"/>
      <c r="AM39" s="29"/>
      <c r="AN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7"/>
      <c r="AL40" s="29"/>
      <c r="AM40" s="29"/>
      <c r="AN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7"/>
      <c r="AL41" s="29"/>
      <c r="AM41" s="29"/>
      <c r="AN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7"/>
      <c r="AL42" s="29"/>
      <c r="AM42" s="29"/>
      <c r="AN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7"/>
      <c r="AL43" s="29"/>
      <c r="AM43" s="29"/>
      <c r="AN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7"/>
      <c r="AL44" s="29"/>
      <c r="AM44" s="29"/>
      <c r="AN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7"/>
      <c r="AL45" s="29"/>
      <c r="AM45" s="29"/>
      <c r="AN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7"/>
      <c r="AL46" s="29"/>
      <c r="AM46" s="29"/>
      <c r="AN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7"/>
      <c r="AL47" s="29"/>
      <c r="AM47" s="29"/>
      <c r="AN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7"/>
      <c r="AL48" s="29"/>
      <c r="AM48" s="29"/>
      <c r="AN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7"/>
      <c r="AL49" s="29"/>
      <c r="AM49" s="29"/>
      <c r="AN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7"/>
      <c r="AL50" s="29"/>
      <c r="AM50" s="29"/>
      <c r="AN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7"/>
      <c r="AL51" s="29"/>
      <c r="AM51" s="29"/>
      <c r="AN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7"/>
      <c r="AL52" s="29"/>
      <c r="AM52" s="29"/>
      <c r="AN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7"/>
      <c r="AL53" s="29"/>
      <c r="AM53" s="29"/>
      <c r="AN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7"/>
      <c r="AL54" s="29"/>
      <c r="AM54" s="29"/>
      <c r="AN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7"/>
      <c r="AL55" s="29"/>
      <c r="AM55" s="29"/>
      <c r="AN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"/>
      <c r="AL56" s="29"/>
      <c r="AM56" s="29"/>
      <c r="AN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7"/>
      <c r="AL57" s="29"/>
      <c r="AM57" s="29"/>
      <c r="AN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"/>
      <c r="AL58" s="29"/>
      <c r="AM58" s="29"/>
      <c r="AN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"/>
      <c r="AL59" s="29"/>
      <c r="AM59" s="29"/>
      <c r="AN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"/>
      <c r="AL60" s="29"/>
      <c r="AM60" s="29"/>
      <c r="AN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7"/>
      <c r="AL61" s="29"/>
      <c r="AM61" s="29"/>
      <c r="AN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"/>
      <c r="AL62" s="29"/>
      <c r="AM62" s="29"/>
      <c r="AN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"/>
      <c r="AL63" s="29"/>
      <c r="AM63" s="29"/>
      <c r="AN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"/>
      <c r="AL64" s="29"/>
      <c r="AM64" s="29"/>
      <c r="AN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7"/>
      <c r="AL65" s="29"/>
      <c r="AM65" s="29"/>
      <c r="AN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7"/>
      <c r="AL66" s="29"/>
      <c r="AM66" s="29"/>
      <c r="AN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7"/>
      <c r="AL67" s="29"/>
      <c r="AM67" s="29"/>
      <c r="AN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7"/>
      <c r="AL68" s="29"/>
      <c r="AM68" s="29"/>
      <c r="AN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7"/>
      <c r="AL69" s="29"/>
      <c r="AM69" s="29"/>
      <c r="AN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7"/>
      <c r="AL70" s="29"/>
      <c r="AM70" s="29"/>
      <c r="AN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7"/>
      <c r="AL71" s="29"/>
      <c r="AM71" s="29"/>
      <c r="AN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7"/>
      <c r="AL72" s="29"/>
      <c r="AM72" s="29"/>
      <c r="AN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"/>
      <c r="AL73" s="29"/>
      <c r="AM73" s="29"/>
      <c r="AN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7"/>
      <c r="AL74" s="29"/>
      <c r="AM74" s="29"/>
      <c r="AN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7"/>
      <c r="AL75" s="29"/>
      <c r="AM75" s="29"/>
      <c r="AN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7"/>
      <c r="AL76" s="29"/>
      <c r="AM76" s="29"/>
      <c r="AN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7"/>
      <c r="AL77" s="29"/>
      <c r="AM77" s="29"/>
      <c r="AN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7"/>
      <c r="AL78" s="29"/>
      <c r="AM78" s="29"/>
      <c r="AN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7"/>
      <c r="AL79" s="29"/>
      <c r="AM79" s="29"/>
      <c r="AN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"/>
      <c r="AL80" s="29"/>
      <c r="AM80" s="29"/>
      <c r="AN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"/>
      <c r="AL81" s="29"/>
      <c r="AM81" s="29"/>
      <c r="AN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"/>
      <c r="AL82" s="29"/>
      <c r="AM82" s="29"/>
      <c r="AN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"/>
      <c r="AL83" s="29"/>
      <c r="AM83" s="29"/>
      <c r="AN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"/>
      <c r="AL84" s="29"/>
      <c r="AM84" s="29"/>
      <c r="AN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"/>
      <c r="AL85" s="29"/>
      <c r="AM85" s="29"/>
      <c r="AN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"/>
      <c r="AL86" s="29"/>
      <c r="AM86" s="29"/>
      <c r="AN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"/>
      <c r="AL87" s="29"/>
      <c r="AM87" s="29"/>
      <c r="AN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"/>
      <c r="AL88" s="29"/>
      <c r="AM88" s="29"/>
      <c r="AN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"/>
      <c r="AL89" s="29"/>
      <c r="AM89" s="29"/>
      <c r="AN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"/>
      <c r="AL90" s="29"/>
      <c r="AM90" s="29"/>
      <c r="AN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"/>
      <c r="AL91" s="29"/>
      <c r="AM91" s="29"/>
      <c r="AN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"/>
      <c r="AL92" s="29"/>
      <c r="AM92" s="29"/>
      <c r="AN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"/>
      <c r="AL93" s="29"/>
      <c r="AM93" s="29"/>
      <c r="AN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"/>
      <c r="AL94" s="29"/>
      <c r="AM94" s="29"/>
      <c r="AN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"/>
      <c r="AL95" s="29"/>
      <c r="AM95" s="29"/>
      <c r="AN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"/>
      <c r="AL96" s="29"/>
      <c r="AM96" s="29"/>
      <c r="AN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"/>
      <c r="AL97" s="29"/>
      <c r="AM97" s="29"/>
      <c r="AN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7"/>
      <c r="AL98" s="29"/>
      <c r="AM98" s="29"/>
      <c r="AN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"/>
      <c r="AL99" s="29"/>
      <c r="AM99" s="29"/>
      <c r="AN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7"/>
      <c r="AL100" s="29"/>
      <c r="AM100" s="29"/>
      <c r="AN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7"/>
      <c r="AL101" s="29"/>
      <c r="AM101" s="29"/>
      <c r="AN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/>
      <c r="AL102" s="29"/>
      <c r="AM102" s="29"/>
      <c r="AN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7"/>
      <c r="AL103" s="29"/>
      <c r="AM103" s="29"/>
      <c r="AN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7"/>
      <c r="AL104" s="29"/>
      <c r="AM104" s="29"/>
      <c r="AN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7"/>
      <c r="AL105" s="29"/>
      <c r="AM105" s="29"/>
      <c r="AN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7"/>
      <c r="AL106" s="29"/>
      <c r="AM106" s="29"/>
      <c r="AN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7"/>
      <c r="AL107" s="29"/>
      <c r="AM107" s="29"/>
      <c r="AN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"/>
      <c r="AL108" s="29"/>
      <c r="AM108" s="29"/>
      <c r="AN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7"/>
      <c r="AL109" s="29"/>
      <c r="AM109" s="29"/>
      <c r="AN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7"/>
      <c r="AL110" s="29"/>
      <c r="AM110" s="29"/>
      <c r="AN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7"/>
      <c r="AL111" s="29"/>
      <c r="AM111" s="29"/>
      <c r="AN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7"/>
      <c r="AL112" s="29"/>
      <c r="AM112" s="29"/>
      <c r="AN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7"/>
      <c r="AL113" s="29"/>
      <c r="AM113" s="29"/>
      <c r="AN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7"/>
      <c r="AL114" s="29"/>
      <c r="AM114" s="29"/>
      <c r="AN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"/>
      <c r="AL115" s="29"/>
      <c r="AM115" s="29"/>
      <c r="AN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7"/>
      <c r="AL116" s="29"/>
      <c r="AM116" s="29"/>
      <c r="AN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7"/>
      <c r="AL117" s="29"/>
      <c r="AM117" s="29"/>
      <c r="AN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7"/>
      <c r="AL118" s="29"/>
      <c r="AM118" s="29"/>
      <c r="AN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7"/>
      <c r="AL119" s="29"/>
      <c r="AM119" s="29"/>
      <c r="AN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7"/>
      <c r="AL120" s="29"/>
      <c r="AM120" s="29"/>
      <c r="AN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29"/>
      <c r="AM121" s="29"/>
      <c r="AN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"/>
      <c r="AL122" s="29"/>
      <c r="AM122" s="29"/>
      <c r="AN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"/>
      <c r="AL123" s="29"/>
      <c r="AM123" s="29"/>
      <c r="AN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7"/>
      <c r="AL124" s="29"/>
      <c r="AM124" s="29"/>
      <c r="AN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"/>
      <c r="AL125" s="29"/>
      <c r="AM125" s="29"/>
      <c r="AN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7"/>
      <c r="AL126" s="29"/>
      <c r="AM126" s="29"/>
      <c r="AN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7"/>
      <c r="AL127" s="29"/>
      <c r="AM127" s="29"/>
      <c r="AN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"/>
      <c r="AL128" s="29"/>
      <c r="AM128" s="29"/>
      <c r="AN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29"/>
      <c r="AM129" s="29"/>
      <c r="AN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7"/>
      <c r="AL130" s="29"/>
      <c r="AM130" s="29"/>
      <c r="AN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7"/>
      <c r="AL131" s="29"/>
      <c r="AM131" s="29"/>
      <c r="AN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7"/>
      <c r="AL132" s="29"/>
      <c r="AM132" s="29"/>
      <c r="AN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7"/>
      <c r="AL133" s="29"/>
      <c r="AM133" s="29"/>
      <c r="AN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7"/>
      <c r="AL134" s="29"/>
      <c r="AM134" s="29"/>
      <c r="AN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7"/>
      <c r="AL135" s="29"/>
      <c r="AM135" s="29"/>
      <c r="AN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7"/>
      <c r="AL136" s="29"/>
      <c r="AM136" s="29"/>
      <c r="AN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7"/>
      <c r="AL137" s="29"/>
      <c r="AM137" s="29"/>
      <c r="AN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7"/>
      <c r="AL138" s="29"/>
      <c r="AM138" s="29"/>
      <c r="AN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7"/>
      <c r="AL139" s="29"/>
      <c r="AM139" s="29"/>
      <c r="AN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7"/>
      <c r="AL140" s="29"/>
      <c r="AM140" s="29"/>
      <c r="AN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7"/>
      <c r="AL141" s="29"/>
      <c r="AM141" s="29"/>
      <c r="AN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7"/>
      <c r="AL142" s="29"/>
      <c r="AM142" s="29"/>
      <c r="AN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7"/>
      <c r="AL143" s="29"/>
      <c r="AM143" s="29"/>
      <c r="AN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"/>
      <c r="AL144" s="29"/>
      <c r="AM144" s="29"/>
      <c r="AN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7"/>
      <c r="AL145" s="29"/>
      <c r="AM145" s="29"/>
      <c r="AN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7"/>
      <c r="AL146" s="29"/>
      <c r="AM146" s="29"/>
      <c r="AN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7"/>
      <c r="AL147" s="29"/>
      <c r="AM147" s="29"/>
      <c r="AN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7"/>
      <c r="AL148" s="29"/>
      <c r="AM148" s="29"/>
      <c r="AN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7"/>
      <c r="AL149" s="29"/>
      <c r="AM149" s="29"/>
      <c r="AN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7"/>
      <c r="AL150" s="29"/>
      <c r="AM150" s="29"/>
      <c r="AN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7"/>
      <c r="AL151" s="29"/>
      <c r="AM151" s="29"/>
      <c r="AN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7"/>
      <c r="AL152" s="29"/>
      <c r="AM152" s="29"/>
      <c r="AN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7"/>
      <c r="AL153" s="29"/>
      <c r="AM153" s="29"/>
      <c r="AN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7"/>
      <c r="AL154" s="29"/>
      <c r="AM154" s="29"/>
      <c r="AN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7"/>
      <c r="AL155" s="29"/>
      <c r="AM155" s="29"/>
      <c r="AN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7"/>
      <c r="AL156" s="29"/>
      <c r="AM156" s="29"/>
      <c r="AN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7"/>
      <c r="AL157" s="29"/>
      <c r="AM157" s="29"/>
      <c r="AN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7"/>
      <c r="AL158" s="29"/>
      <c r="AM158" s="29"/>
      <c r="AN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7"/>
      <c r="AL159" s="29"/>
      <c r="AM159" s="29"/>
      <c r="AN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7"/>
      <c r="AL160" s="29"/>
      <c r="AM160" s="29"/>
      <c r="AN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7"/>
      <c r="AL161" s="29"/>
      <c r="AM161" s="29"/>
      <c r="AN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7"/>
      <c r="AL162" s="29"/>
      <c r="AM162" s="29"/>
      <c r="AN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7"/>
      <c r="AL163" s="29"/>
      <c r="AM163" s="29"/>
      <c r="AN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7"/>
      <c r="AL164" s="29"/>
      <c r="AM164" s="29"/>
      <c r="AN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7"/>
      <c r="AL165" s="29"/>
      <c r="AM165" s="29"/>
      <c r="AN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7"/>
      <c r="AL166" s="29"/>
      <c r="AM166" s="29"/>
      <c r="AN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7"/>
      <c r="AL167" s="29"/>
      <c r="AM167" s="29"/>
      <c r="AN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7"/>
      <c r="AL168" s="29"/>
      <c r="AM168" s="29"/>
      <c r="AN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7"/>
      <c r="AL169" s="29"/>
      <c r="AM169" s="29"/>
      <c r="AN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7"/>
      <c r="AL170" s="29"/>
      <c r="AM170" s="29"/>
      <c r="AN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7"/>
      <c r="AL171" s="29"/>
      <c r="AM171" s="29"/>
      <c r="AN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7"/>
      <c r="AL172" s="29"/>
      <c r="AM172" s="29"/>
      <c r="AN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7"/>
      <c r="AL173" s="29"/>
      <c r="AM173" s="29"/>
      <c r="AN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7"/>
      <c r="AL174" s="29"/>
      <c r="AM174" s="29"/>
      <c r="AN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7"/>
      <c r="AL175" s="29"/>
      <c r="AM175" s="29"/>
      <c r="AN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/>
      <c r="AL176" s="29"/>
      <c r="AM176" s="29"/>
      <c r="AN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7"/>
      <c r="AL177" s="29"/>
      <c r="AM177" s="29"/>
      <c r="AN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7"/>
      <c r="AL178" s="29"/>
      <c r="AM178" s="29"/>
      <c r="AN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7"/>
      <c r="AL179" s="29"/>
      <c r="AM179" s="29"/>
      <c r="AN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7"/>
      <c r="AL180" s="29"/>
      <c r="AM180" s="29"/>
      <c r="AN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7"/>
      <c r="AL181" s="29"/>
      <c r="AM181" s="29"/>
      <c r="AN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7"/>
      <c r="AL182" s="29"/>
      <c r="AM182" s="29"/>
      <c r="AN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7"/>
      <c r="AL183" s="29"/>
      <c r="AM183" s="29"/>
      <c r="AN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7"/>
      <c r="AL184" s="29"/>
      <c r="AM184" s="29"/>
      <c r="AN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7"/>
      <c r="AL185" s="29"/>
      <c r="AM185" s="29"/>
      <c r="AN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7"/>
      <c r="AL186" s="29"/>
      <c r="AM186" s="29"/>
      <c r="AN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7"/>
      <c r="AL187" s="29"/>
      <c r="AM187" s="29"/>
      <c r="AN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7"/>
      <c r="AL188" s="29"/>
      <c r="AM188" s="29"/>
      <c r="AN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7"/>
      <c r="AL189" s="29"/>
      <c r="AM189" s="29"/>
      <c r="AN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7"/>
      <c r="AL190" s="29"/>
      <c r="AM190" s="29"/>
      <c r="AN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7"/>
      <c r="AL191" s="29"/>
      <c r="AM191" s="29"/>
      <c r="AN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7"/>
      <c r="AL192" s="29"/>
      <c r="AM192" s="29"/>
      <c r="AN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7"/>
      <c r="AL193" s="29"/>
      <c r="AM193" s="29"/>
      <c r="AN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7"/>
      <c r="AL194" s="29"/>
      <c r="AM194" s="29"/>
      <c r="AN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7"/>
      <c r="AL195" s="29"/>
      <c r="AM195" s="29"/>
      <c r="AN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7"/>
      <c r="AL196" s="29"/>
      <c r="AM196" s="29"/>
      <c r="AN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7"/>
      <c r="AL197" s="29"/>
      <c r="AM197" s="29"/>
      <c r="AN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7"/>
      <c r="AL198" s="29"/>
      <c r="AM198" s="29"/>
      <c r="AN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7"/>
      <c r="AL199" s="29"/>
      <c r="AM199" s="29"/>
      <c r="AN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7"/>
      <c r="AL200" s="29"/>
      <c r="AM200" s="29"/>
      <c r="AN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7"/>
      <c r="AL201" s="29"/>
      <c r="AM201" s="29"/>
      <c r="AN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7"/>
      <c r="AL202" s="29"/>
      <c r="AM202" s="29"/>
      <c r="AN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7"/>
      <c r="AL203" s="29"/>
      <c r="AM203" s="29"/>
      <c r="AN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7"/>
      <c r="AL204" s="29"/>
      <c r="AM204" s="29"/>
      <c r="AN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7"/>
      <c r="AL205" s="29"/>
      <c r="AM205" s="29"/>
      <c r="AN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7"/>
      <c r="AL206" s="29"/>
      <c r="AM206" s="29"/>
      <c r="AN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7"/>
      <c r="AL207" s="29"/>
      <c r="AM207" s="29"/>
      <c r="AN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7"/>
      <c r="AL208" s="29"/>
      <c r="AM208" s="29"/>
      <c r="AN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7"/>
      <c r="AL209" s="29"/>
      <c r="AM209" s="29"/>
      <c r="AN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7"/>
      <c r="AL210" s="29"/>
      <c r="AM210" s="29"/>
      <c r="AN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7"/>
      <c r="AL211" s="29"/>
      <c r="AM211" s="29"/>
      <c r="AN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7"/>
      <c r="AL212" s="29"/>
      <c r="AM212" s="29"/>
      <c r="AN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7"/>
      <c r="AL213" s="29"/>
      <c r="AM213" s="29"/>
      <c r="AN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7"/>
      <c r="AL214" s="29"/>
      <c r="AM214" s="29"/>
      <c r="AN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7"/>
      <c r="AL215" s="29"/>
      <c r="AM215" s="29"/>
      <c r="AN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7"/>
      <c r="AL216" s="29"/>
      <c r="AM216" s="29"/>
      <c r="AN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7"/>
      <c r="AL217" s="29"/>
      <c r="AM217" s="29"/>
      <c r="AN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7"/>
      <c r="AL218" s="29"/>
      <c r="AM218" s="29"/>
      <c r="AN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7"/>
      <c r="AL219" s="29"/>
      <c r="AM219" s="29"/>
      <c r="AN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7"/>
      <c r="AL220" s="29"/>
      <c r="AM220" s="29"/>
      <c r="AN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7"/>
      <c r="AL221" s="29"/>
      <c r="AM221" s="29"/>
      <c r="AN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7"/>
      <c r="AL222" s="29"/>
      <c r="AM222" s="29"/>
      <c r="AN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7"/>
      <c r="AL223" s="29"/>
      <c r="AM223" s="29"/>
      <c r="AN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7"/>
      <c r="AL224" s="29"/>
      <c r="AM224" s="29"/>
      <c r="AN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7"/>
      <c r="AL225" s="29"/>
      <c r="AM225" s="29"/>
      <c r="AN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7"/>
      <c r="AL226" s="29"/>
      <c r="AM226" s="29"/>
      <c r="AN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7"/>
      <c r="AL227" s="29"/>
      <c r="AM227" s="29"/>
      <c r="AN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7"/>
      <c r="AL228" s="29"/>
      <c r="AM228" s="29"/>
      <c r="AN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7"/>
      <c r="AL229" s="29"/>
      <c r="AM229" s="29"/>
      <c r="AN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7"/>
      <c r="AL230" s="29"/>
      <c r="AM230" s="29"/>
      <c r="AN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7"/>
      <c r="AL231" s="29"/>
      <c r="AM231" s="29"/>
      <c r="AN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7"/>
      <c r="AL232" s="29"/>
      <c r="AM232" s="29"/>
      <c r="AN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7"/>
      <c r="AL233" s="29"/>
      <c r="AM233" s="29"/>
      <c r="AN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7"/>
      <c r="AL234" s="29"/>
      <c r="AM234" s="29"/>
      <c r="AN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7"/>
      <c r="AL235" s="29"/>
      <c r="AM235" s="29"/>
      <c r="AN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86"/>
    <col customWidth="1" min="2" max="2" width="22.14"/>
    <col customWidth="1" min="3" max="3" width="18.43"/>
    <col customWidth="1" min="4" max="4" width="44.86"/>
    <col customWidth="1" min="5" max="5" width="12.43"/>
    <col customWidth="1" min="6" max="7" width="11.14"/>
    <col customWidth="1" min="8" max="8" width="15.43"/>
    <col customWidth="1" min="9" max="9" width="16.14"/>
    <col customWidth="1" min="10" max="10" width="13.57"/>
    <col customWidth="1" min="11" max="11" width="16.86"/>
    <col customWidth="1" hidden="1" min="12" max="12" width="14.57"/>
    <col customWidth="1" min="13" max="17" width="13.71"/>
    <col customWidth="1" min="18" max="18" width="14.0"/>
    <col customWidth="1" min="19" max="19" width="17.43"/>
    <col customWidth="1" min="20" max="20" width="10.43"/>
    <col customWidth="1" min="21" max="21" width="15.71"/>
    <col customWidth="1" min="22" max="22" width="14.0"/>
    <col customWidth="1" min="23" max="23" width="11.86"/>
    <col customWidth="1" min="24" max="24" width="13.29"/>
    <col customWidth="1" min="25" max="25" width="14.0"/>
    <col customWidth="1" min="26" max="26" width="17.0"/>
    <col customWidth="1" min="27" max="28" width="14.14"/>
    <col customWidth="1" min="29" max="29" width="17.43"/>
    <col customWidth="1" min="30" max="30" width="11.71"/>
    <col customWidth="1" min="31" max="32" width="14.0"/>
    <col customWidth="1" min="33" max="33" width="17.43"/>
    <col customWidth="1" min="34" max="34" width="37.57"/>
    <col customWidth="1" min="35" max="36" width="17.43"/>
    <col customWidth="1" min="37" max="37" width="23.57"/>
    <col customWidth="1" min="38" max="38" width="3.14"/>
    <col customWidth="1" min="39" max="39" width="10.29"/>
    <col customWidth="1" min="40" max="40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5"/>
      <c r="Z1" s="5"/>
      <c r="AA1" s="5"/>
      <c r="AB1" s="5"/>
      <c r="AC1" s="5"/>
      <c r="AD1" s="5"/>
      <c r="AE1" s="6"/>
      <c r="AF1" s="5"/>
      <c r="AG1" s="5"/>
      <c r="AH1" s="4" t="s">
        <v>1</v>
      </c>
      <c r="AI1" s="4"/>
      <c r="AJ1" s="4"/>
      <c r="AK1" s="7"/>
      <c r="AL1" s="8"/>
      <c r="AM1" s="8" t="s">
        <v>2</v>
      </c>
      <c r="AN1" s="9">
        <v>46203.0</v>
      </c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16" t="s">
        <v>116</v>
      </c>
      <c r="W2" s="10"/>
      <c r="X2" s="15"/>
      <c r="Y2" s="16"/>
      <c r="Z2" s="17"/>
      <c r="AA2" s="16"/>
      <c r="AB2" s="16"/>
      <c r="AC2" s="16"/>
      <c r="AD2" s="16"/>
      <c r="AE2" s="14" t="s">
        <v>6</v>
      </c>
      <c r="AF2" s="16"/>
      <c r="AG2" s="16"/>
      <c r="AH2" s="15"/>
      <c r="AI2" s="15"/>
      <c r="AJ2" s="15"/>
      <c r="AK2" s="7"/>
      <c r="AL2" s="8"/>
      <c r="AM2" s="8"/>
      <c r="AN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25" t="s">
        <v>29</v>
      </c>
      <c r="X3" s="27" t="s">
        <v>30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19" t="s">
        <v>35</v>
      </c>
      <c r="AF3" s="19" t="s">
        <v>36</v>
      </c>
      <c r="AG3" s="19" t="s">
        <v>37</v>
      </c>
      <c r="AH3" s="28" t="s">
        <v>38</v>
      </c>
      <c r="AI3" s="28" t="s">
        <v>39</v>
      </c>
      <c r="AJ3" s="28" t="s">
        <v>40</v>
      </c>
      <c r="AK3" s="19" t="s">
        <v>41</v>
      </c>
      <c r="AL3" s="29"/>
      <c r="AM3" s="29"/>
      <c r="AN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DATEDIF(H4,$AN$1,"y")</f>
        <v>7</v>
      </c>
      <c r="J4" s="36" t="s">
        <v>48</v>
      </c>
      <c r="K4" s="38">
        <v>44528.0</v>
      </c>
      <c r="L4" s="39">
        <v>2021.0</v>
      </c>
      <c r="M4" s="4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47" t="s">
        <v>49</v>
      </c>
      <c r="W4" s="48">
        <v>44658.0</v>
      </c>
      <c r="X4" s="50">
        <v>1530000.0</v>
      </c>
      <c r="Y4" s="51">
        <f t="shared" ref="Y4:Y8" si="6">P4-AF4</f>
        <v>65</v>
      </c>
      <c r="Z4" s="50">
        <v>10342.0</v>
      </c>
      <c r="AA4" s="52">
        <f t="shared" ref="AA4:AA9" si="7">Y4/Z4</f>
        <v>0.006285051247</v>
      </c>
      <c r="AB4" s="53">
        <f t="shared" ref="AB4:AB9" si="8">Z4*X4/100000000</f>
        <v>158.2326</v>
      </c>
      <c r="AC4" s="54">
        <f t="shared" ref="AC4:AC9" si="9">X4*Y4</f>
        <v>99450000</v>
      </c>
      <c r="AD4" s="55">
        <f t="shared" ref="AD4:AD19" si="10">AC4/S4</f>
        <v>1</v>
      </c>
      <c r="AE4" s="56"/>
      <c r="AF4" s="51"/>
      <c r="AG4" s="54">
        <f t="shared" ref="AG4:AG8" si="11">AE4*AF4</f>
        <v>0</v>
      </c>
      <c r="AH4" s="122" t="s">
        <v>112</v>
      </c>
      <c r="AI4" s="57" t="s">
        <v>51</v>
      </c>
      <c r="AJ4" s="57" t="s">
        <v>51</v>
      </c>
      <c r="AK4" s="58"/>
      <c r="AL4" s="59"/>
      <c r="AM4" s="29"/>
      <c r="AN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6</v>
      </c>
      <c r="J5" s="36" t="s">
        <v>48</v>
      </c>
      <c r="K5" s="38">
        <v>44498.0</v>
      </c>
      <c r="L5" s="39">
        <v>2021.0</v>
      </c>
      <c r="M5" s="60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61" t="s">
        <v>57</v>
      </c>
      <c r="W5" s="48">
        <v>45644.0</v>
      </c>
      <c r="X5" s="50">
        <v>184960.0</v>
      </c>
      <c r="Y5" s="51">
        <f t="shared" si="6"/>
        <v>5500</v>
      </c>
      <c r="Z5" s="50">
        <v>204246.0</v>
      </c>
      <c r="AA5" s="52">
        <f t="shared" si="7"/>
        <v>0.02692831194</v>
      </c>
      <c r="AB5" s="53">
        <f t="shared" si="8"/>
        <v>377.7734016</v>
      </c>
      <c r="AC5" s="54">
        <f t="shared" si="9"/>
        <v>1017280000</v>
      </c>
      <c r="AD5" s="55">
        <f t="shared" si="10"/>
        <v>9.997837838</v>
      </c>
      <c r="AE5" s="56"/>
      <c r="AF5" s="51"/>
      <c r="AG5" s="54">
        <f t="shared" si="11"/>
        <v>0</v>
      </c>
      <c r="AH5" s="57"/>
      <c r="AI5" s="57"/>
      <c r="AJ5" s="57"/>
      <c r="AK5" s="58" t="s">
        <v>58</v>
      </c>
      <c r="AL5" s="29"/>
      <c r="AM5" s="29"/>
      <c r="AN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6</v>
      </c>
      <c r="J6" s="36" t="s">
        <v>48</v>
      </c>
      <c r="K6" s="38">
        <v>44671.0</v>
      </c>
      <c r="L6" s="39">
        <v>2022.0</v>
      </c>
      <c r="M6" s="60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61" t="s">
        <v>57</v>
      </c>
      <c r="W6" s="48">
        <v>45644.0</v>
      </c>
      <c r="X6" s="50">
        <v>184960.0</v>
      </c>
      <c r="Y6" s="51">
        <f t="shared" si="6"/>
        <v>4766</v>
      </c>
      <c r="Z6" s="50">
        <v>204246.0</v>
      </c>
      <c r="AA6" s="52">
        <f t="shared" si="7"/>
        <v>0.02333460631</v>
      </c>
      <c r="AB6" s="53">
        <f t="shared" si="8"/>
        <v>377.7734016</v>
      </c>
      <c r="AC6" s="54">
        <f t="shared" si="9"/>
        <v>881519360</v>
      </c>
      <c r="AD6" s="55">
        <f t="shared" si="10"/>
        <v>2.93890522</v>
      </c>
      <c r="AE6" s="56"/>
      <c r="AF6" s="51"/>
      <c r="AG6" s="54">
        <f t="shared" si="11"/>
        <v>0</v>
      </c>
      <c r="AH6" s="57"/>
      <c r="AI6" s="57"/>
      <c r="AJ6" s="57"/>
      <c r="AK6" s="58" t="s">
        <v>58</v>
      </c>
      <c r="AL6" s="29"/>
      <c r="AM6" s="29"/>
      <c r="AN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5</v>
      </c>
      <c r="J7" s="36" t="s">
        <v>48</v>
      </c>
      <c r="K7" s="38">
        <v>44491.0</v>
      </c>
      <c r="L7" s="39">
        <v>2021.0</v>
      </c>
      <c r="M7" s="60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2">R7*P7</f>
        <v>99989070</v>
      </c>
      <c r="T7" s="45">
        <f t="shared" si="4"/>
        <v>0.05262697635</v>
      </c>
      <c r="U7" s="46">
        <f t="shared" si="5"/>
        <v>18.9995848</v>
      </c>
      <c r="V7" s="61" t="s">
        <v>62</v>
      </c>
      <c r="W7" s="64">
        <v>45857.0</v>
      </c>
      <c r="X7" s="50">
        <v>235000.0</v>
      </c>
      <c r="Y7" s="51">
        <f t="shared" si="6"/>
        <v>3009</v>
      </c>
      <c r="Z7" s="77">
        <v>92764.0</v>
      </c>
      <c r="AA7" s="52">
        <f t="shared" si="7"/>
        <v>0.03243715234</v>
      </c>
      <c r="AB7" s="53">
        <f t="shared" si="8"/>
        <v>217.9954</v>
      </c>
      <c r="AC7" s="54">
        <f t="shared" si="9"/>
        <v>707115000</v>
      </c>
      <c r="AD7" s="55">
        <f t="shared" si="10"/>
        <v>7.071922961</v>
      </c>
      <c r="AE7" s="56"/>
      <c r="AF7" s="51"/>
      <c r="AG7" s="54">
        <f t="shared" si="11"/>
        <v>0</v>
      </c>
      <c r="AH7" s="57"/>
      <c r="AI7" s="57"/>
      <c r="AJ7" s="57"/>
      <c r="AK7" s="58" t="s">
        <v>58</v>
      </c>
      <c r="AL7" s="29"/>
      <c r="AM7" s="29"/>
      <c r="AN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6</v>
      </c>
      <c r="J8" s="36" t="s">
        <v>48</v>
      </c>
      <c r="K8" s="38">
        <v>44932.0</v>
      </c>
      <c r="L8" s="39">
        <v>2023.0</v>
      </c>
      <c r="M8" s="117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2"/>
        <v>99947890</v>
      </c>
      <c r="T8" s="45">
        <f t="shared" si="4"/>
        <v>0.004422501106</v>
      </c>
      <c r="U8" s="46">
        <f t="shared" si="5"/>
        <v>225.9985642</v>
      </c>
      <c r="V8" s="61" t="s">
        <v>66</v>
      </c>
      <c r="W8" s="48">
        <v>45563.0</v>
      </c>
      <c r="X8" s="50">
        <v>190520.0</v>
      </c>
      <c r="Y8" s="51">
        <f t="shared" si="6"/>
        <v>610</v>
      </c>
      <c r="Z8" s="77">
        <v>166385.0</v>
      </c>
      <c r="AA8" s="52">
        <f t="shared" si="7"/>
        <v>0.003666195871</v>
      </c>
      <c r="AB8" s="53">
        <f t="shared" si="8"/>
        <v>316.996702</v>
      </c>
      <c r="AC8" s="54">
        <f t="shared" si="9"/>
        <v>116217200</v>
      </c>
      <c r="AD8" s="55">
        <f t="shared" si="10"/>
        <v>1.162777924</v>
      </c>
      <c r="AE8" s="56"/>
      <c r="AF8" s="51"/>
      <c r="AG8" s="54">
        <f t="shared" si="11"/>
        <v>0</v>
      </c>
      <c r="AH8" s="57"/>
      <c r="AI8" s="57"/>
      <c r="AJ8" s="57"/>
      <c r="AK8" s="58"/>
      <c r="AL8" s="29"/>
      <c r="AM8" s="29"/>
      <c r="AN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6</v>
      </c>
      <c r="J9" s="36" t="s">
        <v>48</v>
      </c>
      <c r="K9" s="38">
        <v>45562.0</v>
      </c>
      <c r="L9" s="39">
        <v>2024.0</v>
      </c>
      <c r="M9" s="117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2"/>
        <v>200046000</v>
      </c>
      <c r="T9" s="45">
        <f t="shared" si="4"/>
        <v>0.006310665024</v>
      </c>
      <c r="U9" s="46">
        <f t="shared" si="5"/>
        <v>316.996702</v>
      </c>
      <c r="V9" s="61" t="s">
        <v>66</v>
      </c>
      <c r="W9" s="48">
        <v>45563.0</v>
      </c>
      <c r="X9" s="50">
        <v>190520.0</v>
      </c>
      <c r="Y9" s="51">
        <v>1050.0</v>
      </c>
      <c r="Z9" s="77">
        <v>166385.0</v>
      </c>
      <c r="AA9" s="52">
        <f t="shared" si="7"/>
        <v>0.006310665024</v>
      </c>
      <c r="AB9" s="53">
        <f t="shared" si="8"/>
        <v>316.996702</v>
      </c>
      <c r="AC9" s="54">
        <f t="shared" si="9"/>
        <v>200046000</v>
      </c>
      <c r="AD9" s="55">
        <f t="shared" si="10"/>
        <v>1</v>
      </c>
      <c r="AE9" s="68"/>
      <c r="AF9" s="51"/>
      <c r="AG9" s="54">
        <v>0.0</v>
      </c>
      <c r="AH9" s="57"/>
      <c r="AI9" s="57"/>
      <c r="AJ9" s="57"/>
      <c r="AK9" s="58"/>
      <c r="AL9" s="29"/>
      <c r="AM9" s="29"/>
      <c r="AN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6</v>
      </c>
      <c r="J10" s="36" t="s">
        <v>48</v>
      </c>
      <c r="K10" s="38">
        <v>44886.0</v>
      </c>
      <c r="L10" s="39">
        <v>2022.0</v>
      </c>
      <c r="M10" s="117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3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61" t="s">
        <v>55</v>
      </c>
      <c r="W10" s="64">
        <v>44944.0</v>
      </c>
      <c r="X10" s="50">
        <v>1.0E8</v>
      </c>
      <c r="Y10" s="51" t="s">
        <v>72</v>
      </c>
      <c r="Z10" s="71">
        <f t="shared" ref="Z10:Z11" si="14">Q10</f>
        <v>7356025</v>
      </c>
      <c r="AA10" s="52"/>
      <c r="AB10" s="72" t="s">
        <v>73</v>
      </c>
      <c r="AC10" s="50">
        <v>1.0E8</v>
      </c>
      <c r="AD10" s="55">
        <f t="shared" si="10"/>
        <v>1</v>
      </c>
      <c r="AE10" s="68"/>
      <c r="AF10" s="51"/>
      <c r="AG10" s="54"/>
      <c r="AH10" s="57"/>
      <c r="AI10" s="57"/>
      <c r="AJ10" s="57"/>
      <c r="AK10" s="58"/>
      <c r="AL10" s="29"/>
      <c r="AM10" s="29"/>
      <c r="AN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6</v>
      </c>
      <c r="J11" s="36" t="s">
        <v>48</v>
      </c>
      <c r="K11" s="38">
        <v>44944.0</v>
      </c>
      <c r="L11" s="39">
        <v>2023.0</v>
      </c>
      <c r="M11" s="117" t="s">
        <v>55</v>
      </c>
      <c r="N11" s="41" t="s">
        <v>71</v>
      </c>
      <c r="O11" s="69">
        <v>7356025.0</v>
      </c>
      <c r="P11" s="43" t="s">
        <v>72</v>
      </c>
      <c r="Q11" s="44">
        <f t="shared" si="13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61" t="s">
        <v>55</v>
      </c>
      <c r="W11" s="64">
        <v>44944.0</v>
      </c>
      <c r="X11" s="50">
        <v>2.0E8</v>
      </c>
      <c r="Y11" s="51" t="s">
        <v>72</v>
      </c>
      <c r="Z11" s="71">
        <f t="shared" si="14"/>
        <v>7356025</v>
      </c>
      <c r="AA11" s="52"/>
      <c r="AB11" s="72" t="s">
        <v>73</v>
      </c>
      <c r="AC11" s="50">
        <v>2.0E8</v>
      </c>
      <c r="AD11" s="55">
        <f t="shared" si="10"/>
        <v>1</v>
      </c>
      <c r="AE11" s="68"/>
      <c r="AF11" s="51"/>
      <c r="AG11" s="54"/>
      <c r="AH11" s="57"/>
      <c r="AI11" s="57"/>
      <c r="AJ11" s="57"/>
      <c r="AK11" s="58"/>
      <c r="AL11" s="29"/>
      <c r="AM11" s="29"/>
      <c r="AN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8</v>
      </c>
      <c r="J12" s="36" t="s">
        <v>48</v>
      </c>
      <c r="K12" s="38">
        <v>44715.0</v>
      </c>
      <c r="L12" s="39">
        <v>2022.0</v>
      </c>
      <c r="M12" s="117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5">O12+P12</f>
        <v>586190</v>
      </c>
      <c r="R12" s="43">
        <v>32243.0</v>
      </c>
      <c r="S12" s="44">
        <f t="shared" ref="S12:S14" si="16">R12*P12</f>
        <v>99985543</v>
      </c>
      <c r="T12" s="45">
        <f t="shared" ref="T12:T14" si="17">P12/Q12</f>
        <v>0.005290093656</v>
      </c>
      <c r="U12" s="46">
        <f t="shared" ref="U12:U14" si="18">Q12*R12/100000000</f>
        <v>189.0052417</v>
      </c>
      <c r="V12" s="61" t="s">
        <v>62</v>
      </c>
      <c r="W12" s="48">
        <v>45317.0</v>
      </c>
      <c r="X12" s="50">
        <v>34155.0</v>
      </c>
      <c r="Y12" s="51">
        <f t="shared" ref="Y12:Y13" si="19">P12-AF12</f>
        <v>3101</v>
      </c>
      <c r="Z12" s="50">
        <v>661696.0</v>
      </c>
      <c r="AA12" s="52">
        <f t="shared" ref="AA12:AA14" si="20">Y12/Z12</f>
        <v>0.004686442112</v>
      </c>
      <c r="AB12" s="53">
        <f t="shared" ref="AB12:AB14" si="21">Z12*X12/100000000</f>
        <v>226.0022688</v>
      </c>
      <c r="AC12" s="123">
        <f t="shared" ref="AC12:AC13" si="22">X12*Y12</f>
        <v>105914655</v>
      </c>
      <c r="AD12" s="55">
        <f t="shared" si="10"/>
        <v>1.059299693</v>
      </c>
      <c r="AE12" s="56"/>
      <c r="AF12" s="51"/>
      <c r="AG12" s="54">
        <f t="shared" ref="AG12:AG14" si="23">AE12*AF12</f>
        <v>0</v>
      </c>
      <c r="AH12" s="57"/>
      <c r="AI12" s="57"/>
      <c r="AJ12" s="57"/>
      <c r="AK12" s="58"/>
      <c r="AL12" s="29"/>
      <c r="AM12" s="29"/>
      <c r="AN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8</v>
      </c>
      <c r="J13" s="36" t="s">
        <v>48</v>
      </c>
      <c r="K13" s="38">
        <v>44936.0</v>
      </c>
      <c r="L13" s="39">
        <v>2023.0</v>
      </c>
      <c r="M13" s="117" t="s">
        <v>62</v>
      </c>
      <c r="N13" s="33" t="s">
        <v>56</v>
      </c>
      <c r="O13" s="66">
        <v>583089.0</v>
      </c>
      <c r="P13" s="43">
        <v>2482.0</v>
      </c>
      <c r="Q13" s="44">
        <f t="shared" si="15"/>
        <v>585571</v>
      </c>
      <c r="R13" s="43">
        <v>40304.0</v>
      </c>
      <c r="S13" s="44">
        <f t="shared" si="16"/>
        <v>100034528</v>
      </c>
      <c r="T13" s="45">
        <f t="shared" si="17"/>
        <v>0.004238597881</v>
      </c>
      <c r="U13" s="46">
        <f t="shared" si="18"/>
        <v>236.0085358</v>
      </c>
      <c r="V13" s="61" t="s">
        <v>62</v>
      </c>
      <c r="W13" s="48">
        <v>45317.0</v>
      </c>
      <c r="X13" s="50">
        <v>34155.0</v>
      </c>
      <c r="Y13" s="51">
        <f t="shared" si="19"/>
        <v>2482</v>
      </c>
      <c r="Z13" s="50">
        <v>661696.0</v>
      </c>
      <c r="AA13" s="52">
        <f t="shared" si="20"/>
        <v>0.003750967212</v>
      </c>
      <c r="AB13" s="53">
        <f t="shared" si="21"/>
        <v>226.0022688</v>
      </c>
      <c r="AC13" s="123">
        <f t="shared" si="22"/>
        <v>84772710</v>
      </c>
      <c r="AD13" s="55">
        <f t="shared" si="10"/>
        <v>0.8474344978</v>
      </c>
      <c r="AE13" s="56"/>
      <c r="AF13" s="51"/>
      <c r="AG13" s="54">
        <f t="shared" si="23"/>
        <v>0</v>
      </c>
      <c r="AH13" s="57"/>
      <c r="AI13" s="57"/>
      <c r="AJ13" s="57"/>
      <c r="AK13" s="58"/>
      <c r="AL13" s="29"/>
      <c r="AM13" s="29"/>
      <c r="AN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6</v>
      </c>
      <c r="J14" s="36" t="s">
        <v>48</v>
      </c>
      <c r="K14" s="38">
        <v>44683.0</v>
      </c>
      <c r="L14" s="39">
        <v>2022.0</v>
      </c>
      <c r="M14" s="117" t="s">
        <v>55</v>
      </c>
      <c r="N14" s="41" t="s">
        <v>56</v>
      </c>
      <c r="O14" s="42">
        <v>100000.0</v>
      </c>
      <c r="P14" s="43">
        <v>3705.0</v>
      </c>
      <c r="Q14" s="44">
        <f t="shared" si="15"/>
        <v>103705</v>
      </c>
      <c r="R14" s="43">
        <v>27000.0</v>
      </c>
      <c r="S14" s="44">
        <f t="shared" si="16"/>
        <v>100035000</v>
      </c>
      <c r="T14" s="45">
        <f t="shared" si="17"/>
        <v>0.03572633914</v>
      </c>
      <c r="U14" s="46">
        <f t="shared" si="18"/>
        <v>28.00035</v>
      </c>
      <c r="V14" s="61" t="s">
        <v>54</v>
      </c>
      <c r="W14" s="48">
        <v>44684.0</v>
      </c>
      <c r="X14" s="77">
        <v>0.0</v>
      </c>
      <c r="Y14" s="126">
        <v>0.0</v>
      </c>
      <c r="Z14" s="50">
        <v>103705.0</v>
      </c>
      <c r="AA14" s="52">
        <f t="shared" si="20"/>
        <v>0</v>
      </c>
      <c r="AB14" s="53">
        <f t="shared" si="21"/>
        <v>0</v>
      </c>
      <c r="AC14" s="123">
        <v>1000.0</v>
      </c>
      <c r="AD14" s="55">
        <f t="shared" si="10"/>
        <v>0.000009996501225</v>
      </c>
      <c r="AE14" s="68"/>
      <c r="AF14" s="51"/>
      <c r="AG14" s="54">
        <f t="shared" si="23"/>
        <v>0</v>
      </c>
      <c r="AH14" s="57"/>
      <c r="AI14" s="57"/>
      <c r="AJ14" s="57"/>
      <c r="AK14" s="127" t="s">
        <v>114</v>
      </c>
      <c r="AL14" s="29"/>
      <c r="AM14" s="29"/>
      <c r="AN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4</v>
      </c>
      <c r="J15" s="36" t="s">
        <v>48</v>
      </c>
      <c r="K15" s="38">
        <v>44694.0</v>
      </c>
      <c r="L15" s="39">
        <v>2022.0</v>
      </c>
      <c r="M15" s="117" t="s">
        <v>55</v>
      </c>
      <c r="N15" s="41" t="s">
        <v>71</v>
      </c>
      <c r="O15" s="69">
        <v>6677.0</v>
      </c>
      <c r="P15" s="43" t="s">
        <v>72</v>
      </c>
      <c r="Q15" s="44">
        <f>O15</f>
        <v>6677</v>
      </c>
      <c r="R15" s="43">
        <v>1.0E8</v>
      </c>
      <c r="S15" s="43">
        <v>1.0E8</v>
      </c>
      <c r="T15" s="45" t="s">
        <v>72</v>
      </c>
      <c r="U15" s="69" t="s">
        <v>84</v>
      </c>
      <c r="V15" s="75" t="s">
        <v>55</v>
      </c>
      <c r="W15" s="48" t="s">
        <v>54</v>
      </c>
      <c r="X15" s="50">
        <v>1.0E8</v>
      </c>
      <c r="Y15" s="51" t="s">
        <v>72</v>
      </c>
      <c r="Z15" s="71">
        <f>Q15</f>
        <v>6677</v>
      </c>
      <c r="AA15" s="52"/>
      <c r="AB15" s="76" t="s">
        <v>84</v>
      </c>
      <c r="AC15" s="77">
        <v>6.9E7</v>
      </c>
      <c r="AD15" s="55">
        <f t="shared" si="10"/>
        <v>0.69</v>
      </c>
      <c r="AE15" s="56"/>
      <c r="AF15" s="51"/>
      <c r="AG15" s="54"/>
      <c r="AH15" s="57"/>
      <c r="AI15" s="57"/>
      <c r="AJ15" s="57"/>
      <c r="AK15" s="58" t="s">
        <v>85</v>
      </c>
      <c r="AL15" s="29"/>
      <c r="AM15" s="29"/>
      <c r="AN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7</v>
      </c>
      <c r="J16" s="36" t="s">
        <v>48</v>
      </c>
      <c r="K16" s="38">
        <v>45107.0</v>
      </c>
      <c r="L16" s="39">
        <v>2023.0</v>
      </c>
      <c r="M16" s="117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4">O16+P16</f>
        <v>28099</v>
      </c>
      <c r="R16" s="43">
        <v>722470.0</v>
      </c>
      <c r="S16" s="44">
        <f t="shared" ref="S16:S19" si="25">R16*P16</f>
        <v>300547520</v>
      </c>
      <c r="T16" s="45">
        <f t="shared" ref="T16:T19" si="26">P16/Q16</f>
        <v>0.01480479732</v>
      </c>
      <c r="U16" s="46">
        <f t="shared" ref="U16:U19" si="27">Q16*R16/100000000</f>
        <v>203.0068453</v>
      </c>
      <c r="V16" s="61" t="s">
        <v>57</v>
      </c>
      <c r="W16" s="64">
        <v>45597.0</v>
      </c>
      <c r="X16" s="50">
        <v>327150.0</v>
      </c>
      <c r="Y16" s="51">
        <f t="shared" ref="Y16:Y19" si="28">P16-AF16</f>
        <v>416</v>
      </c>
      <c r="Z16" s="50">
        <v>30568.0</v>
      </c>
      <c r="AA16" s="52">
        <f t="shared" ref="AA16:AA19" si="29">Y16/Z16</f>
        <v>0.01360900288</v>
      </c>
      <c r="AB16" s="53">
        <f t="shared" ref="AB16:AB19" si="30">Z16*X16/100000000</f>
        <v>100.003212</v>
      </c>
      <c r="AC16" s="54">
        <f t="shared" ref="AC16:AC19" si="31">X16*Y16</f>
        <v>136094400</v>
      </c>
      <c r="AD16" s="55">
        <f t="shared" si="10"/>
        <v>0.4528215704</v>
      </c>
      <c r="AE16" s="56"/>
      <c r="AF16" s="51"/>
      <c r="AG16" s="54">
        <f>AE16*AF16</f>
        <v>0</v>
      </c>
      <c r="AH16" s="57" t="s">
        <v>88</v>
      </c>
      <c r="AI16" s="57" t="s">
        <v>89</v>
      </c>
      <c r="AJ16" s="57" t="s">
        <v>90</v>
      </c>
      <c r="AK16" s="58" t="s">
        <v>91</v>
      </c>
      <c r="AL16" s="29"/>
      <c r="AM16" s="29"/>
      <c r="AN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7</v>
      </c>
      <c r="J17" s="36" t="s">
        <v>48</v>
      </c>
      <c r="K17" s="38">
        <v>45254.0</v>
      </c>
      <c r="L17" s="39">
        <v>2023.0</v>
      </c>
      <c r="M17" s="117" t="s">
        <v>57</v>
      </c>
      <c r="N17" s="41" t="s">
        <v>56</v>
      </c>
      <c r="O17" s="42">
        <v>28099.0</v>
      </c>
      <c r="P17" s="43">
        <v>139.0</v>
      </c>
      <c r="Q17" s="44">
        <f t="shared" si="24"/>
        <v>28238</v>
      </c>
      <c r="R17" s="43">
        <v>722470.0</v>
      </c>
      <c r="S17" s="44">
        <f t="shared" si="25"/>
        <v>100423330</v>
      </c>
      <c r="T17" s="45">
        <f t="shared" si="26"/>
        <v>0.004922444932</v>
      </c>
      <c r="U17" s="46">
        <f t="shared" si="27"/>
        <v>204.0110786</v>
      </c>
      <c r="V17" s="61" t="s">
        <v>57</v>
      </c>
      <c r="W17" s="64">
        <v>45597.0</v>
      </c>
      <c r="X17" s="50">
        <v>327150.0</v>
      </c>
      <c r="Y17" s="51">
        <f t="shared" si="28"/>
        <v>139</v>
      </c>
      <c r="Z17" s="50">
        <v>30568.0</v>
      </c>
      <c r="AA17" s="52">
        <f t="shared" si="29"/>
        <v>0.004547238943</v>
      </c>
      <c r="AB17" s="53">
        <f t="shared" si="30"/>
        <v>100.003212</v>
      </c>
      <c r="AC17" s="54">
        <f t="shared" si="31"/>
        <v>45473850</v>
      </c>
      <c r="AD17" s="55">
        <f t="shared" si="10"/>
        <v>0.4528215704</v>
      </c>
      <c r="AE17" s="56"/>
      <c r="AF17" s="51"/>
      <c r="AG17" s="54">
        <v>0.0</v>
      </c>
      <c r="AH17" s="57"/>
      <c r="AI17" s="57"/>
      <c r="AJ17" s="57"/>
      <c r="AK17" s="58" t="s">
        <v>91</v>
      </c>
      <c r="AL17" s="29"/>
      <c r="AM17" s="29"/>
      <c r="AN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5</v>
      </c>
      <c r="J18" s="36" t="s">
        <v>48</v>
      </c>
      <c r="K18" s="38">
        <v>45127.0</v>
      </c>
      <c r="L18" s="39">
        <v>2023.0</v>
      </c>
      <c r="M18" s="117" t="s">
        <v>62</v>
      </c>
      <c r="N18" s="41" t="s">
        <v>56</v>
      </c>
      <c r="O18" s="42">
        <v>373763.0</v>
      </c>
      <c r="P18" s="43">
        <v>4477.0</v>
      </c>
      <c r="Q18" s="44">
        <f t="shared" si="24"/>
        <v>378240</v>
      </c>
      <c r="R18" s="43">
        <v>44680.0</v>
      </c>
      <c r="S18" s="44">
        <f t="shared" si="25"/>
        <v>200032360</v>
      </c>
      <c r="T18" s="45">
        <f t="shared" si="26"/>
        <v>0.01183640017</v>
      </c>
      <c r="U18" s="46">
        <f t="shared" si="27"/>
        <v>168.997632</v>
      </c>
      <c r="V18" s="61" t="s">
        <v>117</v>
      </c>
      <c r="W18" s="64">
        <v>46203.0</v>
      </c>
      <c r="X18" s="77">
        <v>66700.0</v>
      </c>
      <c r="Y18" s="51">
        <f t="shared" si="28"/>
        <v>4477</v>
      </c>
      <c r="Z18" s="77">
        <v>459490.0</v>
      </c>
      <c r="AA18" s="52">
        <f t="shared" si="29"/>
        <v>0.009743411173</v>
      </c>
      <c r="AB18" s="53">
        <f t="shared" si="30"/>
        <v>306.47983</v>
      </c>
      <c r="AC18" s="54">
        <f t="shared" si="31"/>
        <v>298615900</v>
      </c>
      <c r="AD18" s="55">
        <f t="shared" si="10"/>
        <v>1.492837959</v>
      </c>
      <c r="AE18" s="56"/>
      <c r="AF18" s="51"/>
      <c r="AG18" s="54">
        <f>AE18*AF18</f>
        <v>0</v>
      </c>
      <c r="AH18" s="57" t="s">
        <v>95</v>
      </c>
      <c r="AI18" s="57" t="s">
        <v>96</v>
      </c>
      <c r="AJ18" s="57" t="s">
        <v>97</v>
      </c>
      <c r="AK18" s="58"/>
      <c r="AL18" s="29"/>
      <c r="AM18" s="29"/>
      <c r="AN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5</v>
      </c>
      <c r="J19" s="36" t="s">
        <v>48</v>
      </c>
      <c r="K19" s="38">
        <v>45265.0</v>
      </c>
      <c r="L19" s="39">
        <v>2023.0</v>
      </c>
      <c r="M19" s="60" t="s">
        <v>62</v>
      </c>
      <c r="N19" s="41" t="s">
        <v>56</v>
      </c>
      <c r="O19" s="42">
        <v>382716.0</v>
      </c>
      <c r="P19" s="43">
        <v>2239.0</v>
      </c>
      <c r="Q19" s="44">
        <f t="shared" si="24"/>
        <v>384955</v>
      </c>
      <c r="R19" s="43">
        <v>44680.0</v>
      </c>
      <c r="S19" s="44">
        <f t="shared" si="25"/>
        <v>100038520</v>
      </c>
      <c r="T19" s="45">
        <f t="shared" si="26"/>
        <v>0.005816264239</v>
      </c>
      <c r="U19" s="46">
        <f t="shared" si="27"/>
        <v>171.997894</v>
      </c>
      <c r="V19" s="61" t="s">
        <v>117</v>
      </c>
      <c r="W19" s="64">
        <v>46203.0</v>
      </c>
      <c r="X19" s="77">
        <v>66700.0</v>
      </c>
      <c r="Y19" s="51">
        <f t="shared" si="28"/>
        <v>2239</v>
      </c>
      <c r="Z19" s="77">
        <v>459490.0</v>
      </c>
      <c r="AA19" s="52">
        <f t="shared" si="29"/>
        <v>0.00487279375</v>
      </c>
      <c r="AB19" s="53">
        <f t="shared" si="30"/>
        <v>306.47983</v>
      </c>
      <c r="AC19" s="54">
        <f t="shared" si="31"/>
        <v>149341300</v>
      </c>
      <c r="AD19" s="55">
        <f t="shared" si="10"/>
        <v>1.492837959</v>
      </c>
      <c r="AE19" s="68"/>
      <c r="AF19" s="51"/>
      <c r="AG19" s="54">
        <v>0.0</v>
      </c>
      <c r="AH19" s="57" t="s">
        <v>95</v>
      </c>
      <c r="AI19" s="57" t="s">
        <v>96</v>
      </c>
      <c r="AJ19" s="57" t="s">
        <v>99</v>
      </c>
      <c r="AK19" s="58"/>
      <c r="AL19" s="29"/>
      <c r="AM19" s="29"/>
      <c r="AN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3"/>
      <c r="AG20" s="85"/>
      <c r="AH20" s="85"/>
      <c r="AI20" s="85"/>
      <c r="AJ20" s="85"/>
      <c r="AK20" s="87"/>
      <c r="AL20" s="8"/>
      <c r="AM20" s="8"/>
      <c r="AN20" s="8"/>
    </row>
    <row r="21" ht="16.5" customHeight="1">
      <c r="A21" s="88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4210841375</v>
      </c>
      <c r="AD21" s="93">
        <f>AC21/S21</f>
        <v>1.829028849</v>
      </c>
      <c r="AE21" s="91"/>
      <c r="AF21" s="94"/>
      <c r="AG21" s="91"/>
      <c r="AH21" s="91"/>
      <c r="AI21" s="91"/>
      <c r="AJ21" s="91"/>
      <c r="AK21" s="95"/>
      <c r="AL21" s="96"/>
      <c r="AM21" s="96"/>
      <c r="AN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101"/>
      <c r="AG22" s="98"/>
      <c r="AH22" s="98"/>
      <c r="AI22" s="98"/>
      <c r="AJ22" s="98"/>
      <c r="AK22" s="102"/>
      <c r="AL22" s="29"/>
      <c r="AM22" s="29"/>
      <c r="AN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29"/>
      <c r="AM23" s="29"/>
      <c r="AN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29"/>
      <c r="AM24" s="29"/>
      <c r="AN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29"/>
      <c r="AM25" s="29"/>
      <c r="AN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29"/>
      <c r="AM26" s="29"/>
      <c r="AN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29"/>
      <c r="AM27" s="29"/>
      <c r="AN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29"/>
      <c r="AM28" s="29"/>
      <c r="AN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29"/>
      <c r="AM29" s="29"/>
      <c r="AN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29"/>
      <c r="AM30" s="29"/>
      <c r="AN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29"/>
      <c r="AM31" s="29"/>
      <c r="AN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29"/>
      <c r="AM32" s="29"/>
      <c r="AN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29"/>
      <c r="AM33" s="29"/>
      <c r="AN33" s="29"/>
    </row>
    <row r="34" ht="16.5" customHeight="1">
      <c r="A34" s="8"/>
      <c r="B34" s="134">
        <v>46203.0</v>
      </c>
      <c r="C34" s="111"/>
      <c r="D34" s="111">
        <f>AC21</f>
        <v>4210841375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29"/>
      <c r="AM34" s="29"/>
      <c r="AN34" s="29"/>
    </row>
    <row r="35" ht="16.5" customHeight="1">
      <c r="A35" s="8"/>
      <c r="B35" s="113" t="s">
        <v>106</v>
      </c>
      <c r="C35" s="114"/>
      <c r="D35" s="114">
        <f>XIRR(D25:D34,B25:B34)</f>
        <v>0.1387640541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29"/>
      <c r="AM35" s="29"/>
      <c r="AN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29"/>
      <c r="AM36" s="29"/>
      <c r="AN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29"/>
      <c r="AM37" s="29"/>
      <c r="AN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29"/>
      <c r="AM38" s="29"/>
      <c r="AN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29"/>
      <c r="AM39" s="29"/>
      <c r="AN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29"/>
      <c r="AM40" s="29"/>
      <c r="AN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29"/>
      <c r="AM41" s="29"/>
      <c r="AN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29"/>
      <c r="AM42" s="29"/>
      <c r="AN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29"/>
      <c r="AM43" s="29"/>
      <c r="AN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29"/>
      <c r="AM44" s="29"/>
      <c r="AN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29"/>
      <c r="AM45" s="29"/>
      <c r="AN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29"/>
      <c r="AM46" s="29"/>
      <c r="AN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29"/>
      <c r="AM47" s="29"/>
      <c r="AN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29"/>
      <c r="AM48" s="29"/>
      <c r="AN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29"/>
      <c r="AM49" s="29"/>
      <c r="AN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29"/>
      <c r="AM50" s="29"/>
      <c r="AN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29"/>
      <c r="AM51" s="29"/>
      <c r="AN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29"/>
      <c r="AM52" s="29"/>
      <c r="AN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29"/>
      <c r="AM53" s="29"/>
      <c r="AN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29"/>
      <c r="AM54" s="29"/>
      <c r="AN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29"/>
      <c r="AM55" s="29"/>
      <c r="AN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"/>
      <c r="AL56" s="29"/>
      <c r="AM56" s="29"/>
      <c r="AN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7"/>
      <c r="AL57" s="29"/>
      <c r="AM57" s="29"/>
      <c r="AN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"/>
      <c r="AL58" s="29"/>
      <c r="AM58" s="29"/>
      <c r="AN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"/>
      <c r="AL59" s="29"/>
      <c r="AM59" s="29"/>
      <c r="AN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"/>
      <c r="AL60" s="29"/>
      <c r="AM60" s="29"/>
      <c r="AN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7"/>
      <c r="AL61" s="29"/>
      <c r="AM61" s="29"/>
      <c r="AN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"/>
      <c r="AL62" s="29"/>
      <c r="AM62" s="29"/>
      <c r="AN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"/>
      <c r="AL63" s="29"/>
      <c r="AM63" s="29"/>
      <c r="AN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"/>
      <c r="AL64" s="29"/>
      <c r="AM64" s="29"/>
      <c r="AN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7"/>
      <c r="AL65" s="29"/>
      <c r="AM65" s="29"/>
      <c r="AN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7"/>
      <c r="AL66" s="29"/>
      <c r="AM66" s="29"/>
      <c r="AN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7"/>
      <c r="AL67" s="29"/>
      <c r="AM67" s="29"/>
      <c r="AN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7"/>
      <c r="AL68" s="29"/>
      <c r="AM68" s="29"/>
      <c r="AN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7"/>
      <c r="AL69" s="29"/>
      <c r="AM69" s="29"/>
      <c r="AN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7"/>
      <c r="AL70" s="29"/>
      <c r="AM70" s="29"/>
      <c r="AN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7"/>
      <c r="AL71" s="29"/>
      <c r="AM71" s="29"/>
      <c r="AN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7"/>
      <c r="AL72" s="29"/>
      <c r="AM72" s="29"/>
      <c r="AN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"/>
      <c r="AL73" s="29"/>
      <c r="AM73" s="29"/>
      <c r="AN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7"/>
      <c r="AL74" s="29"/>
      <c r="AM74" s="29"/>
      <c r="AN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7"/>
      <c r="AL75" s="29"/>
      <c r="AM75" s="29"/>
      <c r="AN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7"/>
      <c r="AL76" s="29"/>
      <c r="AM76" s="29"/>
      <c r="AN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7"/>
      <c r="AL77" s="29"/>
      <c r="AM77" s="29"/>
      <c r="AN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7"/>
      <c r="AL78" s="29"/>
      <c r="AM78" s="29"/>
      <c r="AN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7"/>
      <c r="AL79" s="29"/>
      <c r="AM79" s="29"/>
      <c r="AN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"/>
      <c r="AL80" s="29"/>
      <c r="AM80" s="29"/>
      <c r="AN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"/>
      <c r="AL81" s="29"/>
      <c r="AM81" s="29"/>
      <c r="AN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"/>
      <c r="AL82" s="29"/>
      <c r="AM82" s="29"/>
      <c r="AN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"/>
      <c r="AL83" s="29"/>
      <c r="AM83" s="29"/>
      <c r="AN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"/>
      <c r="AL84" s="29"/>
      <c r="AM84" s="29"/>
      <c r="AN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"/>
      <c r="AL85" s="29"/>
      <c r="AM85" s="29"/>
      <c r="AN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"/>
      <c r="AL86" s="29"/>
      <c r="AM86" s="29"/>
      <c r="AN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"/>
      <c r="AL87" s="29"/>
      <c r="AM87" s="29"/>
      <c r="AN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"/>
      <c r="AL88" s="29"/>
      <c r="AM88" s="29"/>
      <c r="AN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"/>
      <c r="AL89" s="29"/>
      <c r="AM89" s="29"/>
      <c r="AN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"/>
      <c r="AL90" s="29"/>
      <c r="AM90" s="29"/>
      <c r="AN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"/>
      <c r="AL91" s="29"/>
      <c r="AM91" s="29"/>
      <c r="AN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"/>
      <c r="AL92" s="29"/>
      <c r="AM92" s="29"/>
      <c r="AN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"/>
      <c r="AL93" s="29"/>
      <c r="AM93" s="29"/>
      <c r="AN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"/>
      <c r="AL94" s="29"/>
      <c r="AM94" s="29"/>
      <c r="AN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"/>
      <c r="AL95" s="29"/>
      <c r="AM95" s="29"/>
      <c r="AN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"/>
      <c r="AL96" s="29"/>
      <c r="AM96" s="29"/>
      <c r="AN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"/>
      <c r="AL97" s="29"/>
      <c r="AM97" s="29"/>
      <c r="AN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7"/>
      <c r="AL98" s="29"/>
      <c r="AM98" s="29"/>
      <c r="AN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"/>
      <c r="AL99" s="29"/>
      <c r="AM99" s="29"/>
      <c r="AN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7"/>
      <c r="AL100" s="29"/>
      <c r="AM100" s="29"/>
      <c r="AN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7"/>
      <c r="AL101" s="29"/>
      <c r="AM101" s="29"/>
      <c r="AN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/>
      <c r="AL102" s="29"/>
      <c r="AM102" s="29"/>
      <c r="AN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7"/>
      <c r="AL103" s="29"/>
      <c r="AM103" s="29"/>
      <c r="AN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7"/>
      <c r="AL104" s="29"/>
      <c r="AM104" s="29"/>
      <c r="AN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7"/>
      <c r="AL105" s="29"/>
      <c r="AM105" s="29"/>
      <c r="AN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7"/>
      <c r="AL106" s="29"/>
      <c r="AM106" s="29"/>
      <c r="AN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7"/>
      <c r="AL107" s="29"/>
      <c r="AM107" s="29"/>
      <c r="AN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"/>
      <c r="AL108" s="29"/>
      <c r="AM108" s="29"/>
      <c r="AN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7"/>
      <c r="AL109" s="29"/>
      <c r="AM109" s="29"/>
      <c r="AN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7"/>
      <c r="AL110" s="29"/>
      <c r="AM110" s="29"/>
      <c r="AN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7"/>
      <c r="AL111" s="29"/>
      <c r="AM111" s="29"/>
      <c r="AN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7"/>
      <c r="AL112" s="29"/>
      <c r="AM112" s="29"/>
      <c r="AN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7"/>
      <c r="AL113" s="29"/>
      <c r="AM113" s="29"/>
      <c r="AN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7"/>
      <c r="AL114" s="29"/>
      <c r="AM114" s="29"/>
      <c r="AN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"/>
      <c r="AL115" s="29"/>
      <c r="AM115" s="29"/>
      <c r="AN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7"/>
      <c r="AL116" s="29"/>
      <c r="AM116" s="29"/>
      <c r="AN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7"/>
      <c r="AL117" s="29"/>
      <c r="AM117" s="29"/>
      <c r="AN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7"/>
      <c r="AL118" s="29"/>
      <c r="AM118" s="29"/>
      <c r="AN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7"/>
      <c r="AL119" s="29"/>
      <c r="AM119" s="29"/>
      <c r="AN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7"/>
      <c r="AL120" s="29"/>
      <c r="AM120" s="29"/>
      <c r="AN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29"/>
      <c r="AM121" s="29"/>
      <c r="AN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"/>
      <c r="AL122" s="29"/>
      <c r="AM122" s="29"/>
      <c r="AN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"/>
      <c r="AL123" s="29"/>
      <c r="AM123" s="29"/>
      <c r="AN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7"/>
      <c r="AL124" s="29"/>
      <c r="AM124" s="29"/>
      <c r="AN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"/>
      <c r="AL125" s="29"/>
      <c r="AM125" s="29"/>
      <c r="AN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7"/>
      <c r="AL126" s="29"/>
      <c r="AM126" s="29"/>
      <c r="AN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7"/>
      <c r="AL127" s="29"/>
      <c r="AM127" s="29"/>
      <c r="AN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"/>
      <c r="AL128" s="29"/>
      <c r="AM128" s="29"/>
      <c r="AN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29"/>
      <c r="AM129" s="29"/>
      <c r="AN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7"/>
      <c r="AL130" s="29"/>
      <c r="AM130" s="29"/>
      <c r="AN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7"/>
      <c r="AL131" s="29"/>
      <c r="AM131" s="29"/>
      <c r="AN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7"/>
      <c r="AL132" s="29"/>
      <c r="AM132" s="29"/>
      <c r="AN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7"/>
      <c r="AL133" s="29"/>
      <c r="AM133" s="29"/>
      <c r="AN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7"/>
      <c r="AL134" s="29"/>
      <c r="AM134" s="29"/>
      <c r="AN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7"/>
      <c r="AL135" s="29"/>
      <c r="AM135" s="29"/>
      <c r="AN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7"/>
      <c r="AL136" s="29"/>
      <c r="AM136" s="29"/>
      <c r="AN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7"/>
      <c r="AL137" s="29"/>
      <c r="AM137" s="29"/>
      <c r="AN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7"/>
      <c r="AL138" s="29"/>
      <c r="AM138" s="29"/>
      <c r="AN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7"/>
      <c r="AL139" s="29"/>
      <c r="AM139" s="29"/>
      <c r="AN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7"/>
      <c r="AL140" s="29"/>
      <c r="AM140" s="29"/>
      <c r="AN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7"/>
      <c r="AL141" s="29"/>
      <c r="AM141" s="29"/>
      <c r="AN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7"/>
      <c r="AL142" s="29"/>
      <c r="AM142" s="29"/>
      <c r="AN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7"/>
      <c r="AL143" s="29"/>
      <c r="AM143" s="29"/>
      <c r="AN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"/>
      <c r="AL144" s="29"/>
      <c r="AM144" s="29"/>
      <c r="AN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7"/>
      <c r="AL145" s="29"/>
      <c r="AM145" s="29"/>
      <c r="AN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7"/>
      <c r="AL146" s="29"/>
      <c r="AM146" s="29"/>
      <c r="AN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7"/>
      <c r="AL147" s="29"/>
      <c r="AM147" s="29"/>
      <c r="AN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7"/>
      <c r="AL148" s="29"/>
      <c r="AM148" s="29"/>
      <c r="AN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7"/>
      <c r="AL149" s="29"/>
      <c r="AM149" s="29"/>
      <c r="AN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7"/>
      <c r="AL150" s="29"/>
      <c r="AM150" s="29"/>
      <c r="AN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7"/>
      <c r="AL151" s="29"/>
      <c r="AM151" s="29"/>
      <c r="AN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7"/>
      <c r="AL152" s="29"/>
      <c r="AM152" s="29"/>
      <c r="AN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7"/>
      <c r="AL153" s="29"/>
      <c r="AM153" s="29"/>
      <c r="AN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7"/>
      <c r="AL154" s="29"/>
      <c r="AM154" s="29"/>
      <c r="AN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7"/>
      <c r="AL155" s="29"/>
      <c r="AM155" s="29"/>
      <c r="AN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7"/>
      <c r="AL156" s="29"/>
      <c r="AM156" s="29"/>
      <c r="AN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7"/>
      <c r="AL157" s="29"/>
      <c r="AM157" s="29"/>
      <c r="AN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7"/>
      <c r="AL158" s="29"/>
      <c r="AM158" s="29"/>
      <c r="AN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7"/>
      <c r="AL159" s="29"/>
      <c r="AM159" s="29"/>
      <c r="AN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7"/>
      <c r="AL160" s="29"/>
      <c r="AM160" s="29"/>
      <c r="AN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7"/>
      <c r="AL161" s="29"/>
      <c r="AM161" s="29"/>
      <c r="AN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7"/>
      <c r="AL162" s="29"/>
      <c r="AM162" s="29"/>
      <c r="AN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7"/>
      <c r="AL163" s="29"/>
      <c r="AM163" s="29"/>
      <c r="AN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7"/>
      <c r="AL164" s="29"/>
      <c r="AM164" s="29"/>
      <c r="AN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7"/>
      <c r="AL165" s="29"/>
      <c r="AM165" s="29"/>
      <c r="AN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7"/>
      <c r="AL166" s="29"/>
      <c r="AM166" s="29"/>
      <c r="AN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7"/>
      <c r="AL167" s="29"/>
      <c r="AM167" s="29"/>
      <c r="AN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7"/>
      <c r="AL168" s="29"/>
      <c r="AM168" s="29"/>
      <c r="AN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7"/>
      <c r="AL169" s="29"/>
      <c r="AM169" s="29"/>
      <c r="AN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7"/>
      <c r="AL170" s="29"/>
      <c r="AM170" s="29"/>
      <c r="AN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7"/>
      <c r="AL171" s="29"/>
      <c r="AM171" s="29"/>
      <c r="AN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7"/>
      <c r="AL172" s="29"/>
      <c r="AM172" s="29"/>
      <c r="AN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7"/>
      <c r="AL173" s="29"/>
      <c r="AM173" s="29"/>
      <c r="AN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7"/>
      <c r="AL174" s="29"/>
      <c r="AM174" s="29"/>
      <c r="AN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7"/>
      <c r="AL175" s="29"/>
      <c r="AM175" s="29"/>
      <c r="AN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/>
      <c r="AL176" s="29"/>
      <c r="AM176" s="29"/>
      <c r="AN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7"/>
      <c r="AL177" s="29"/>
      <c r="AM177" s="29"/>
      <c r="AN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7"/>
      <c r="AL178" s="29"/>
      <c r="AM178" s="29"/>
      <c r="AN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7"/>
      <c r="AL179" s="29"/>
      <c r="AM179" s="29"/>
      <c r="AN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7"/>
      <c r="AL180" s="29"/>
      <c r="AM180" s="29"/>
      <c r="AN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7"/>
      <c r="AL181" s="29"/>
      <c r="AM181" s="29"/>
      <c r="AN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7"/>
      <c r="AL182" s="29"/>
      <c r="AM182" s="29"/>
      <c r="AN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7"/>
      <c r="AL183" s="29"/>
      <c r="AM183" s="29"/>
      <c r="AN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7"/>
      <c r="AL184" s="29"/>
      <c r="AM184" s="29"/>
      <c r="AN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7"/>
      <c r="AL185" s="29"/>
      <c r="AM185" s="29"/>
      <c r="AN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7"/>
      <c r="AL186" s="29"/>
      <c r="AM186" s="29"/>
      <c r="AN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7"/>
      <c r="AL187" s="29"/>
      <c r="AM187" s="29"/>
      <c r="AN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7"/>
      <c r="AL188" s="29"/>
      <c r="AM188" s="29"/>
      <c r="AN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7"/>
      <c r="AL189" s="29"/>
      <c r="AM189" s="29"/>
      <c r="AN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7"/>
      <c r="AL190" s="29"/>
      <c r="AM190" s="29"/>
      <c r="AN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7"/>
      <c r="AL191" s="29"/>
      <c r="AM191" s="29"/>
      <c r="AN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7"/>
      <c r="AL192" s="29"/>
      <c r="AM192" s="29"/>
      <c r="AN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7"/>
      <c r="AL193" s="29"/>
      <c r="AM193" s="29"/>
      <c r="AN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7"/>
      <c r="AL194" s="29"/>
      <c r="AM194" s="29"/>
      <c r="AN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7"/>
      <c r="AL195" s="29"/>
      <c r="AM195" s="29"/>
      <c r="AN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7"/>
      <c r="AL196" s="29"/>
      <c r="AM196" s="29"/>
      <c r="AN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7"/>
      <c r="AL197" s="29"/>
      <c r="AM197" s="29"/>
      <c r="AN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7"/>
      <c r="AL198" s="29"/>
      <c r="AM198" s="29"/>
      <c r="AN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7"/>
      <c r="AL199" s="29"/>
      <c r="AM199" s="29"/>
      <c r="AN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7"/>
      <c r="AL200" s="29"/>
      <c r="AM200" s="29"/>
      <c r="AN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7"/>
      <c r="AL201" s="29"/>
      <c r="AM201" s="29"/>
      <c r="AN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7"/>
      <c r="AL202" s="29"/>
      <c r="AM202" s="29"/>
      <c r="AN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7"/>
      <c r="AL203" s="29"/>
      <c r="AM203" s="29"/>
      <c r="AN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7"/>
      <c r="AL204" s="29"/>
      <c r="AM204" s="29"/>
      <c r="AN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7"/>
      <c r="AL205" s="29"/>
      <c r="AM205" s="29"/>
      <c r="AN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7"/>
      <c r="AL206" s="29"/>
      <c r="AM206" s="29"/>
      <c r="AN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7"/>
      <c r="AL207" s="29"/>
      <c r="AM207" s="29"/>
      <c r="AN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7"/>
      <c r="AL208" s="29"/>
      <c r="AM208" s="29"/>
      <c r="AN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7"/>
      <c r="AL209" s="29"/>
      <c r="AM209" s="29"/>
      <c r="AN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7"/>
      <c r="AL210" s="29"/>
      <c r="AM210" s="29"/>
      <c r="AN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7"/>
      <c r="AL211" s="29"/>
      <c r="AM211" s="29"/>
      <c r="AN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7"/>
      <c r="AL212" s="29"/>
      <c r="AM212" s="29"/>
      <c r="AN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7"/>
      <c r="AL213" s="29"/>
      <c r="AM213" s="29"/>
      <c r="AN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7"/>
      <c r="AL214" s="29"/>
      <c r="AM214" s="29"/>
      <c r="AN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7"/>
      <c r="AL215" s="29"/>
      <c r="AM215" s="29"/>
      <c r="AN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7"/>
      <c r="AL216" s="29"/>
      <c r="AM216" s="29"/>
      <c r="AN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7"/>
      <c r="AL217" s="29"/>
      <c r="AM217" s="29"/>
      <c r="AN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7"/>
      <c r="AL218" s="29"/>
      <c r="AM218" s="29"/>
      <c r="AN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7"/>
      <c r="AL219" s="29"/>
      <c r="AM219" s="29"/>
      <c r="AN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7"/>
      <c r="AL220" s="29"/>
      <c r="AM220" s="29"/>
      <c r="AN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7"/>
      <c r="AL221" s="29"/>
      <c r="AM221" s="29"/>
      <c r="AN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7"/>
      <c r="AL222" s="29"/>
      <c r="AM222" s="29"/>
      <c r="AN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7"/>
      <c r="AL223" s="29"/>
      <c r="AM223" s="29"/>
      <c r="AN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7"/>
      <c r="AL224" s="29"/>
      <c r="AM224" s="29"/>
      <c r="AN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7"/>
      <c r="AL225" s="29"/>
      <c r="AM225" s="29"/>
      <c r="AN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7"/>
      <c r="AL226" s="29"/>
      <c r="AM226" s="29"/>
      <c r="AN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7"/>
      <c r="AL227" s="29"/>
      <c r="AM227" s="29"/>
      <c r="AN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7"/>
      <c r="AL228" s="29"/>
      <c r="AM228" s="29"/>
      <c r="AN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7"/>
      <c r="AL229" s="29"/>
      <c r="AM229" s="29"/>
      <c r="AN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7"/>
      <c r="AL230" s="29"/>
      <c r="AM230" s="29"/>
      <c r="AN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7"/>
      <c r="AL231" s="29"/>
      <c r="AM231" s="29"/>
      <c r="AN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7"/>
      <c r="AL232" s="29"/>
      <c r="AM232" s="29"/>
      <c r="AN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7"/>
      <c r="AL233" s="29"/>
      <c r="AM233" s="29"/>
      <c r="AN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7"/>
      <c r="AL234" s="29"/>
      <c r="AM234" s="29"/>
      <c r="AN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7"/>
      <c r="AL235" s="29"/>
      <c r="AM235" s="29"/>
      <c r="AN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5.86"/>
    <col customWidth="1" min="2" max="2" width="22.14"/>
    <col customWidth="1" hidden="1" min="3" max="3" width="14.43" outlineLevel="1"/>
    <col customWidth="1" hidden="1" min="4" max="4" width="15.29" outlineLevel="1"/>
    <col customWidth="1" hidden="1" min="5" max="5" width="12.43" outlineLevel="1"/>
    <col customWidth="1" hidden="1" min="6" max="6" width="7.57" outlineLevel="1"/>
    <col customWidth="1" hidden="1" min="7" max="7" width="8.29" outlineLevel="1"/>
    <col customWidth="1" hidden="1" min="8" max="8" width="15.43" outlineLevel="1"/>
    <col customWidth="1" hidden="1" min="9" max="9" width="7.71" outlineLevel="1"/>
    <col customWidth="1" hidden="1" min="10" max="10" width="6.57" outlineLevel="1"/>
    <col customWidth="1" hidden="1" min="11" max="11" width="13.71" outlineLevel="1"/>
    <col customWidth="1" hidden="1" min="12" max="12" width="14.57" outlineLevel="1"/>
    <col collapsed="1" customWidth="1" min="13" max="13" width="11.86"/>
    <col customWidth="1" min="14" max="17" width="11.57" outlineLevel="1"/>
    <col customWidth="1" min="18" max="18" width="17.43" outlineLevel="1"/>
    <col customWidth="1" min="19" max="19" width="16.57" outlineLevel="1"/>
    <col customWidth="1" min="20" max="21" width="11.57" outlineLevel="1"/>
    <col customWidth="1" min="22" max="22" width="14.0"/>
    <col customWidth="1" min="23" max="23" width="12.71" outlineLevel="1"/>
    <col customWidth="1" min="24" max="24" width="12.57" outlineLevel="1"/>
    <col customWidth="1" min="25" max="25" width="15.14" outlineLevel="1"/>
    <col customWidth="1" min="26" max="27" width="12.29" outlineLevel="1"/>
    <col customWidth="1" min="28" max="28" width="14.14" outlineLevel="1"/>
    <col customWidth="1" min="29" max="29" width="17.43" outlineLevel="1"/>
    <col customWidth="1" min="30" max="30" width="9.0" outlineLevel="1"/>
    <col customWidth="1" min="31" max="31" width="11.57"/>
    <col customWidth="1" min="32" max="32" width="9.43"/>
    <col customWidth="1" min="33" max="33" width="14.0"/>
    <col customWidth="1" min="34" max="34" width="9.14"/>
    <col customWidth="1" min="35" max="35" width="10.86"/>
    <col customWidth="1" min="36" max="36" width="17.71"/>
    <col customWidth="1" min="37" max="38" width="9.86"/>
    <col customWidth="1" min="39" max="39" width="18.0"/>
    <col customWidth="1" min="40" max="40" width="9.14"/>
    <col customWidth="1" min="41" max="41" width="8.0"/>
    <col customWidth="1" min="42" max="42" width="9.43"/>
    <col customWidth="1" min="43" max="43" width="3.14"/>
    <col customWidth="1" min="44" max="44" width="10.29"/>
    <col customWidth="1" min="45" max="45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8"/>
      <c r="Z1" s="8"/>
      <c r="AA1" s="8"/>
      <c r="AB1" s="8"/>
      <c r="AC1" s="8"/>
      <c r="AD1" s="8"/>
      <c r="AE1" s="135"/>
      <c r="AF1" s="136"/>
      <c r="AG1" s="8"/>
      <c r="AH1" s="8"/>
      <c r="AI1" s="8"/>
      <c r="AJ1" s="4"/>
      <c r="AK1" s="4"/>
      <c r="AL1" s="4"/>
      <c r="AM1" s="4" t="s">
        <v>1</v>
      </c>
      <c r="AN1" s="4"/>
      <c r="AO1" s="4"/>
      <c r="AP1" s="4"/>
      <c r="AQ1" s="8"/>
      <c r="AR1" s="8"/>
      <c r="AS1" s="9"/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37" t="s">
        <v>118</v>
      </c>
      <c r="W2" s="137"/>
      <c r="X2" s="15"/>
      <c r="Y2" s="17"/>
      <c r="Z2" s="17"/>
      <c r="AA2" s="17"/>
      <c r="AB2" s="17"/>
      <c r="AC2" s="17"/>
      <c r="AD2" s="17"/>
      <c r="AE2" s="116" t="s">
        <v>119</v>
      </c>
      <c r="AF2" s="136"/>
      <c r="AG2" s="138">
        <v>2025.0</v>
      </c>
      <c r="AH2" s="139"/>
      <c r="AI2" s="140"/>
      <c r="AJ2" s="138">
        <v>2026.0</v>
      </c>
      <c r="AK2" s="139"/>
      <c r="AL2" s="140"/>
      <c r="AM2" s="141" t="s">
        <v>120</v>
      </c>
      <c r="AN2" s="139"/>
      <c r="AO2" s="140"/>
      <c r="AP2" s="142"/>
      <c r="AQ2" s="8"/>
      <c r="AR2" s="8"/>
      <c r="AS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143" t="s">
        <v>121</v>
      </c>
      <c r="X3" s="144" t="s">
        <v>122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20" t="s">
        <v>123</v>
      </c>
      <c r="AF3" s="20" t="s">
        <v>124</v>
      </c>
      <c r="AG3" s="20" t="s">
        <v>125</v>
      </c>
      <c r="AH3" s="20" t="s">
        <v>126</v>
      </c>
      <c r="AI3" s="145" t="s">
        <v>127</v>
      </c>
      <c r="AJ3" s="146" t="s">
        <v>125</v>
      </c>
      <c r="AK3" s="20" t="s">
        <v>126</v>
      </c>
      <c r="AL3" s="145" t="s">
        <v>127</v>
      </c>
      <c r="AM3" s="146" t="s">
        <v>125</v>
      </c>
      <c r="AN3" s="20" t="s">
        <v>126</v>
      </c>
      <c r="AO3" s="145" t="s">
        <v>127</v>
      </c>
      <c r="AP3" s="147" t="s">
        <v>34</v>
      </c>
      <c r="AQ3" s="148"/>
      <c r="AR3" s="29"/>
      <c r="AS3" s="29"/>
    </row>
    <row r="4" ht="16.5" customHeight="1">
      <c r="A4" s="30">
        <v>1.0</v>
      </c>
      <c r="B4" s="30" t="s">
        <v>42</v>
      </c>
      <c r="C4" s="31" t="s">
        <v>43</v>
      </c>
      <c r="D4" s="32" t="s">
        <v>44</v>
      </c>
      <c r="E4" s="33" t="s">
        <v>45</v>
      </c>
      <c r="F4" s="33" t="s">
        <v>46</v>
      </c>
      <c r="G4" s="33" t="s">
        <v>47</v>
      </c>
      <c r="H4" s="34">
        <v>43451.0</v>
      </c>
      <c r="I4" s="35">
        <f t="shared" ref="I4:I19" si="1">DATEDIF(H4,$B$34,"y")</f>
        <v>6</v>
      </c>
      <c r="J4" s="36" t="s">
        <v>48</v>
      </c>
      <c r="K4" s="149">
        <v>44528.0</v>
      </c>
      <c r="L4" s="39">
        <v>2021.0</v>
      </c>
      <c r="M4" s="150" t="s">
        <v>49</v>
      </c>
      <c r="N4" s="41" t="s">
        <v>50</v>
      </c>
      <c r="O4" s="42">
        <v>10000.0</v>
      </c>
      <c r="P4" s="43">
        <v>65.0</v>
      </c>
      <c r="Q4" s="44">
        <f t="shared" ref="Q4:Q9" si="2">O4+P4</f>
        <v>10065</v>
      </c>
      <c r="R4" s="43">
        <v>1530000.0</v>
      </c>
      <c r="S4" s="44">
        <f t="shared" ref="S4:S5" si="3">R4*P4</f>
        <v>99450000</v>
      </c>
      <c r="T4" s="45">
        <f t="shared" ref="T4:T9" si="4">P4/Q4</f>
        <v>0.006458022851</v>
      </c>
      <c r="U4" s="46">
        <f t="shared" ref="U4:U9" si="5">Q4*R4/100000000</f>
        <v>153.9945</v>
      </c>
      <c r="V4" s="151" t="s">
        <v>49</v>
      </c>
      <c r="W4" s="152">
        <v>44658.0</v>
      </c>
      <c r="X4" s="153">
        <v>1530000.0</v>
      </c>
      <c r="Y4" s="51">
        <v>65.0</v>
      </c>
      <c r="Z4" s="50">
        <v>10342.0</v>
      </c>
      <c r="AA4" s="52">
        <f t="shared" ref="AA4:AA14" si="6">Y4/Z4</f>
        <v>0.006285051247</v>
      </c>
      <c r="AB4" s="53">
        <f t="shared" ref="AB4:AB14" si="7">Z4*X4/100000000</f>
        <v>158.2326</v>
      </c>
      <c r="AC4" s="54">
        <f t="shared" ref="AC4:AC14" si="8">X4*Y4</f>
        <v>99450000</v>
      </c>
      <c r="AD4" s="55">
        <f t="shared" ref="AD4:AD19" si="9">AC4/S4</f>
        <v>1</v>
      </c>
      <c r="AE4" s="154" t="s">
        <v>50</v>
      </c>
      <c r="AF4" s="155">
        <v>0.0</v>
      </c>
      <c r="AG4" s="44">
        <f>AC4</f>
        <v>99450000</v>
      </c>
      <c r="AH4" s="45">
        <f>(AG4-S4)/S4</f>
        <v>0</v>
      </c>
      <c r="AI4" s="156">
        <f t="shared" ref="AI4:AI6" si="10">AG26</f>
        <v>0</v>
      </c>
      <c r="AJ4" s="157"/>
      <c r="AK4" s="158"/>
      <c r="AL4" s="159"/>
      <c r="AM4" s="157"/>
      <c r="AN4" s="160"/>
      <c r="AO4" s="161"/>
      <c r="AP4" s="162">
        <f>AG4/S4</f>
        <v>1</v>
      </c>
      <c r="AQ4" s="163"/>
      <c r="AR4" s="29"/>
      <c r="AS4" s="29"/>
    </row>
    <row r="5" ht="16.5" customHeight="1">
      <c r="A5" s="30">
        <v>2.0</v>
      </c>
      <c r="B5" s="30" t="s">
        <v>52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>
        <f t="shared" si="1"/>
        <v>5</v>
      </c>
      <c r="J5" s="36" t="s">
        <v>48</v>
      </c>
      <c r="K5" s="164">
        <v>44498.0</v>
      </c>
      <c r="L5" s="39">
        <v>2021.0</v>
      </c>
      <c r="M5" s="165" t="s">
        <v>55</v>
      </c>
      <c r="N5" s="41" t="s">
        <v>56</v>
      </c>
      <c r="O5" s="42">
        <v>118693.0</v>
      </c>
      <c r="P5" s="43">
        <v>5500.0</v>
      </c>
      <c r="Q5" s="44">
        <f t="shared" si="2"/>
        <v>124193</v>
      </c>
      <c r="R5" s="43">
        <v>18500.0</v>
      </c>
      <c r="S5" s="44">
        <f t="shared" si="3"/>
        <v>101750000</v>
      </c>
      <c r="T5" s="45">
        <f t="shared" si="4"/>
        <v>0.04428590983</v>
      </c>
      <c r="U5" s="46">
        <f t="shared" si="5"/>
        <v>22.975705</v>
      </c>
      <c r="V5" s="166" t="s">
        <v>57</v>
      </c>
      <c r="W5" s="152">
        <v>45644.0</v>
      </c>
      <c r="X5" s="153">
        <v>184960.0</v>
      </c>
      <c r="Y5" s="51">
        <v>5500.0</v>
      </c>
      <c r="Z5" s="50">
        <v>204246.0</v>
      </c>
      <c r="AA5" s="52">
        <f t="shared" si="6"/>
        <v>0.02692831194</v>
      </c>
      <c r="AB5" s="53">
        <f t="shared" si="7"/>
        <v>377.7734016</v>
      </c>
      <c r="AC5" s="54">
        <f t="shared" si="8"/>
        <v>1017280000</v>
      </c>
      <c r="AD5" s="55">
        <f t="shared" si="9"/>
        <v>9.997837838</v>
      </c>
      <c r="AE5" s="154" t="s">
        <v>56</v>
      </c>
      <c r="AF5" s="155">
        <v>0.1</v>
      </c>
      <c r="AG5" s="44"/>
      <c r="AH5" s="45"/>
      <c r="AI5" s="167" t="str">
        <f t="shared" si="10"/>
        <v/>
      </c>
      <c r="AJ5" s="168">
        <f t="shared" ref="AJ5:AJ7" si="11">AC5*(1-AF5)</f>
        <v>915552000</v>
      </c>
      <c r="AK5" s="45">
        <f t="shared" ref="AK5:AK11" si="12">(AJ5-S5)/S5</f>
        <v>7.998054054</v>
      </c>
      <c r="AL5" s="156">
        <f>AG29</f>
        <v>1.081944829</v>
      </c>
      <c r="AM5" s="169"/>
      <c r="AN5" s="160"/>
      <c r="AO5" s="161"/>
      <c r="AP5" s="162">
        <f t="shared" ref="AP5:AP11" si="13">AJ5/S5</f>
        <v>8.998054054</v>
      </c>
      <c r="AQ5" s="148"/>
      <c r="AR5" s="29"/>
      <c r="AS5" s="29"/>
    </row>
    <row r="6" ht="16.5" customHeight="1">
      <c r="A6" s="30">
        <v>3.0</v>
      </c>
      <c r="B6" s="30" t="s">
        <v>59</v>
      </c>
      <c r="C6" s="31" t="s">
        <v>43</v>
      </c>
      <c r="D6" s="32" t="s">
        <v>53</v>
      </c>
      <c r="E6" s="33" t="s">
        <v>45</v>
      </c>
      <c r="F6" s="33" t="s">
        <v>46</v>
      </c>
      <c r="G6" s="33" t="s">
        <v>47</v>
      </c>
      <c r="H6" s="34">
        <v>44006.0</v>
      </c>
      <c r="I6" s="35">
        <f t="shared" si="1"/>
        <v>5</v>
      </c>
      <c r="J6" s="36" t="s">
        <v>48</v>
      </c>
      <c r="K6" s="164">
        <v>44671.0</v>
      </c>
      <c r="L6" s="39">
        <v>2022.0</v>
      </c>
      <c r="M6" s="165" t="s">
        <v>49</v>
      </c>
      <c r="N6" s="41" t="s">
        <v>56</v>
      </c>
      <c r="O6" s="42">
        <v>382716.0</v>
      </c>
      <c r="P6" s="43">
        <v>4766.0</v>
      </c>
      <c r="Q6" s="44">
        <f t="shared" si="2"/>
        <v>387482</v>
      </c>
      <c r="R6" s="43">
        <f>S6/P6</f>
        <v>62935</v>
      </c>
      <c r="S6" s="44">
        <v>2.9994821E8</v>
      </c>
      <c r="T6" s="45">
        <f t="shared" si="4"/>
        <v>0.01229992619</v>
      </c>
      <c r="U6" s="46">
        <f t="shared" si="5"/>
        <v>243.8617967</v>
      </c>
      <c r="V6" s="166" t="s">
        <v>57</v>
      </c>
      <c r="W6" s="152">
        <v>45644.0</v>
      </c>
      <c r="X6" s="153">
        <v>184960.0</v>
      </c>
      <c r="Y6" s="51">
        <v>4766.0</v>
      </c>
      <c r="Z6" s="50">
        <v>204246.0</v>
      </c>
      <c r="AA6" s="52">
        <f t="shared" si="6"/>
        <v>0.02333460631</v>
      </c>
      <c r="AB6" s="53">
        <f t="shared" si="7"/>
        <v>377.7734016</v>
      </c>
      <c r="AC6" s="54">
        <f t="shared" si="8"/>
        <v>881519360</v>
      </c>
      <c r="AD6" s="55">
        <f t="shared" si="9"/>
        <v>2.93890522</v>
      </c>
      <c r="AE6" s="154" t="s">
        <v>56</v>
      </c>
      <c r="AF6" s="155">
        <v>0.1</v>
      </c>
      <c r="AG6" s="44"/>
      <c r="AH6" s="45"/>
      <c r="AI6" s="167" t="str">
        <f t="shared" si="10"/>
        <v/>
      </c>
      <c r="AJ6" s="168">
        <f t="shared" si="11"/>
        <v>793367424</v>
      </c>
      <c r="AK6" s="45">
        <f t="shared" si="12"/>
        <v>1.645014698</v>
      </c>
      <c r="AL6" s="156">
        <f>AG31</f>
        <v>0.4984068155</v>
      </c>
      <c r="AM6" s="157"/>
      <c r="AN6" s="160"/>
      <c r="AO6" s="161"/>
      <c r="AP6" s="162">
        <f t="shared" si="13"/>
        <v>2.645014698</v>
      </c>
      <c r="AQ6" s="148"/>
      <c r="AR6" s="170"/>
      <c r="AS6" s="29"/>
    </row>
    <row r="7" ht="16.5" customHeight="1">
      <c r="A7" s="30">
        <v>4.0</v>
      </c>
      <c r="B7" s="30" t="s">
        <v>60</v>
      </c>
      <c r="C7" s="31" t="s">
        <v>43</v>
      </c>
      <c r="D7" s="32" t="s">
        <v>61</v>
      </c>
      <c r="E7" s="33" t="s">
        <v>45</v>
      </c>
      <c r="F7" s="33" t="s">
        <v>46</v>
      </c>
      <c r="G7" s="33" t="s">
        <v>47</v>
      </c>
      <c r="H7" s="34">
        <v>44138.0</v>
      </c>
      <c r="I7" s="35">
        <f t="shared" si="1"/>
        <v>4</v>
      </c>
      <c r="J7" s="36" t="s">
        <v>48</v>
      </c>
      <c r="K7" s="164">
        <v>44491.0</v>
      </c>
      <c r="L7" s="39">
        <v>2021.0</v>
      </c>
      <c r="M7" s="165" t="s">
        <v>55</v>
      </c>
      <c r="N7" s="41" t="s">
        <v>50</v>
      </c>
      <c r="O7" s="42">
        <v>54167.0</v>
      </c>
      <c r="P7" s="43">
        <v>3009.0</v>
      </c>
      <c r="Q7" s="44">
        <f t="shared" si="2"/>
        <v>57176</v>
      </c>
      <c r="R7" s="43">
        <v>33230.0</v>
      </c>
      <c r="S7" s="44">
        <f t="shared" ref="S7:S9" si="14">R7*P7</f>
        <v>99989070</v>
      </c>
      <c r="T7" s="45">
        <f t="shared" si="4"/>
        <v>0.05262697635</v>
      </c>
      <c r="U7" s="46">
        <f t="shared" si="5"/>
        <v>18.9995848</v>
      </c>
      <c r="V7" s="166" t="s">
        <v>62</v>
      </c>
      <c r="W7" s="152" t="s">
        <v>108</v>
      </c>
      <c r="X7" s="153">
        <v>235000.0</v>
      </c>
      <c r="Y7" s="51">
        <v>3009.0</v>
      </c>
      <c r="Z7" s="77">
        <v>90637.0</v>
      </c>
      <c r="AA7" s="52">
        <f t="shared" si="6"/>
        <v>0.0331983627</v>
      </c>
      <c r="AB7" s="53">
        <f t="shared" si="7"/>
        <v>212.99695</v>
      </c>
      <c r="AC7" s="54">
        <f t="shared" si="8"/>
        <v>707115000</v>
      </c>
      <c r="AD7" s="55">
        <f t="shared" si="9"/>
        <v>7.071922961</v>
      </c>
      <c r="AE7" s="154" t="s">
        <v>50</v>
      </c>
      <c r="AF7" s="155">
        <v>0.2</v>
      </c>
      <c r="AG7" s="44"/>
      <c r="AH7" s="45"/>
      <c r="AI7" s="167"/>
      <c r="AJ7" s="168">
        <f t="shared" si="11"/>
        <v>565692000</v>
      </c>
      <c r="AK7" s="45">
        <f t="shared" si="12"/>
        <v>4.657538369</v>
      </c>
      <c r="AL7" s="156">
        <f>AG35</f>
        <v>0.8304512502</v>
      </c>
      <c r="AM7" s="169"/>
      <c r="AN7" s="160"/>
      <c r="AO7" s="161"/>
      <c r="AP7" s="162">
        <f t="shared" si="13"/>
        <v>5.657538369</v>
      </c>
      <c r="AQ7" s="148"/>
      <c r="AR7" s="29"/>
      <c r="AS7" s="29"/>
    </row>
    <row r="8" ht="16.5" customHeight="1">
      <c r="A8" s="33">
        <v>5.0</v>
      </c>
      <c r="B8" s="33" t="s">
        <v>63</v>
      </c>
      <c r="C8" s="31" t="s">
        <v>64</v>
      </c>
      <c r="D8" s="33" t="s">
        <v>65</v>
      </c>
      <c r="E8" s="33" t="s">
        <v>45</v>
      </c>
      <c r="F8" s="33" t="s">
        <v>46</v>
      </c>
      <c r="G8" s="33" t="s">
        <v>47</v>
      </c>
      <c r="H8" s="34">
        <v>44007.0</v>
      </c>
      <c r="I8" s="35">
        <f t="shared" si="1"/>
        <v>5</v>
      </c>
      <c r="J8" s="36" t="s">
        <v>48</v>
      </c>
      <c r="K8" s="164">
        <v>44932.0</v>
      </c>
      <c r="L8" s="39">
        <v>2023.0</v>
      </c>
      <c r="M8" s="171" t="s">
        <v>62</v>
      </c>
      <c r="N8" s="33" t="s">
        <v>56</v>
      </c>
      <c r="O8" s="66">
        <v>137321.0</v>
      </c>
      <c r="P8" s="43">
        <v>610.0</v>
      </c>
      <c r="Q8" s="44">
        <f t="shared" si="2"/>
        <v>137931</v>
      </c>
      <c r="R8" s="43">
        <v>163849.0</v>
      </c>
      <c r="S8" s="44">
        <f t="shared" si="14"/>
        <v>99947890</v>
      </c>
      <c r="T8" s="45">
        <f t="shared" si="4"/>
        <v>0.004422501106</v>
      </c>
      <c r="U8" s="46">
        <f t="shared" si="5"/>
        <v>225.9985642</v>
      </c>
      <c r="V8" s="166" t="s">
        <v>66</v>
      </c>
      <c r="W8" s="152">
        <v>45563.0</v>
      </c>
      <c r="X8" s="153">
        <v>190520.0</v>
      </c>
      <c r="Y8" s="51">
        <v>610.0</v>
      </c>
      <c r="Z8" s="77">
        <v>166385.0</v>
      </c>
      <c r="AA8" s="52">
        <f t="shared" si="6"/>
        <v>0.003666195871</v>
      </c>
      <c r="AB8" s="53">
        <f t="shared" si="7"/>
        <v>316.996702</v>
      </c>
      <c r="AC8" s="54">
        <f t="shared" si="8"/>
        <v>116217200</v>
      </c>
      <c r="AD8" s="55">
        <f t="shared" si="9"/>
        <v>1.162777924</v>
      </c>
      <c r="AE8" s="154" t="s">
        <v>56</v>
      </c>
      <c r="AF8" s="155">
        <v>0.1</v>
      </c>
      <c r="AG8" s="44"/>
      <c r="AH8" s="45"/>
      <c r="AI8" s="167" t="str">
        <f>AG30</f>
        <v/>
      </c>
      <c r="AJ8" s="172">
        <f>AL26*(1-AF8)</f>
        <v>131983051.5</v>
      </c>
      <c r="AK8" s="45">
        <f t="shared" si="12"/>
        <v>0.3205186373</v>
      </c>
      <c r="AL8" s="156">
        <f>AM26</f>
        <v>0.1163883468</v>
      </c>
      <c r="AM8" s="169"/>
      <c r="AN8" s="160"/>
      <c r="AO8" s="161"/>
      <c r="AP8" s="162">
        <f t="shared" si="13"/>
        <v>1.320518637</v>
      </c>
      <c r="AQ8" s="148"/>
      <c r="AR8" s="29"/>
      <c r="AS8" s="29"/>
    </row>
    <row r="9" ht="16.5" customHeight="1">
      <c r="A9" s="30">
        <v>6.0</v>
      </c>
      <c r="B9" s="33" t="s">
        <v>67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>
        <f t="shared" si="1"/>
        <v>5</v>
      </c>
      <c r="J9" s="36" t="s">
        <v>48</v>
      </c>
      <c r="K9" s="164">
        <v>45562.0</v>
      </c>
      <c r="L9" s="39">
        <v>2024.0</v>
      </c>
      <c r="M9" s="171" t="s">
        <v>57</v>
      </c>
      <c r="N9" s="33" t="s">
        <v>56</v>
      </c>
      <c r="O9" s="66">
        <v>165335.0</v>
      </c>
      <c r="P9" s="43">
        <v>1050.0</v>
      </c>
      <c r="Q9" s="44">
        <f t="shared" si="2"/>
        <v>166385</v>
      </c>
      <c r="R9" s="43">
        <v>190520.0</v>
      </c>
      <c r="S9" s="44">
        <f t="shared" si="14"/>
        <v>200046000</v>
      </c>
      <c r="T9" s="45">
        <f t="shared" si="4"/>
        <v>0.006310665024</v>
      </c>
      <c r="U9" s="46">
        <f t="shared" si="5"/>
        <v>316.996702</v>
      </c>
      <c r="V9" s="166" t="s">
        <v>66</v>
      </c>
      <c r="W9" s="152">
        <v>45563.0</v>
      </c>
      <c r="X9" s="153">
        <v>190520.0</v>
      </c>
      <c r="Y9" s="51">
        <v>1050.0</v>
      </c>
      <c r="Z9" s="77">
        <v>166385.0</v>
      </c>
      <c r="AA9" s="52">
        <f t="shared" si="6"/>
        <v>0.006310665024</v>
      </c>
      <c r="AB9" s="53">
        <f t="shared" si="7"/>
        <v>316.996702</v>
      </c>
      <c r="AC9" s="54">
        <f t="shared" si="8"/>
        <v>200046000</v>
      </c>
      <c r="AD9" s="55">
        <f t="shared" si="9"/>
        <v>1</v>
      </c>
      <c r="AE9" s="154" t="s">
        <v>56</v>
      </c>
      <c r="AF9" s="155">
        <v>0.1</v>
      </c>
      <c r="AG9" s="44"/>
      <c r="AH9" s="45"/>
      <c r="AI9" s="167"/>
      <c r="AJ9" s="172">
        <f>AL28*(1-AF9)</f>
        <v>227183940.9</v>
      </c>
      <c r="AK9" s="45">
        <f t="shared" si="12"/>
        <v>0.135658503</v>
      </c>
      <c r="AL9" s="156">
        <f>AM28</f>
        <v>0.1416019147</v>
      </c>
      <c r="AM9" s="169"/>
      <c r="AN9" s="160"/>
      <c r="AO9" s="161"/>
      <c r="AP9" s="162">
        <f t="shared" si="13"/>
        <v>1.135658503</v>
      </c>
      <c r="AQ9" s="148"/>
      <c r="AR9" s="29"/>
      <c r="AS9" s="29"/>
    </row>
    <row r="10" ht="16.5" customHeight="1">
      <c r="A10" s="30">
        <v>7.0</v>
      </c>
      <c r="B10" s="30" t="s">
        <v>68</v>
      </c>
      <c r="C10" s="31" t="s">
        <v>69</v>
      </c>
      <c r="D10" s="32" t="s">
        <v>70</v>
      </c>
      <c r="E10" s="33" t="s">
        <v>45</v>
      </c>
      <c r="F10" s="33" t="s">
        <v>46</v>
      </c>
      <c r="G10" s="33" t="s">
        <v>47</v>
      </c>
      <c r="H10" s="34">
        <v>43878.0</v>
      </c>
      <c r="I10" s="35">
        <f t="shared" si="1"/>
        <v>5</v>
      </c>
      <c r="J10" s="36" t="s">
        <v>48</v>
      </c>
      <c r="K10" s="164">
        <v>44886.0</v>
      </c>
      <c r="L10" s="39">
        <v>2022.0</v>
      </c>
      <c r="M10" s="171" t="s">
        <v>55</v>
      </c>
      <c r="N10" s="41" t="s">
        <v>71</v>
      </c>
      <c r="O10" s="69">
        <v>7356025.0</v>
      </c>
      <c r="P10" s="43" t="s">
        <v>72</v>
      </c>
      <c r="Q10" s="44">
        <f t="shared" ref="Q10:Q11" si="15">O10</f>
        <v>7356025</v>
      </c>
      <c r="R10" s="43">
        <v>1.0E8</v>
      </c>
      <c r="S10" s="43">
        <v>1.0E8</v>
      </c>
      <c r="T10" s="45" t="s">
        <v>72</v>
      </c>
      <c r="U10" s="70" t="s">
        <v>73</v>
      </c>
      <c r="V10" s="166" t="s">
        <v>55</v>
      </c>
      <c r="W10" s="173">
        <v>46021.0</v>
      </c>
      <c r="X10" s="174">
        <v>4079.0</v>
      </c>
      <c r="Y10" s="175">
        <v>31983.0</v>
      </c>
      <c r="Z10" s="176">
        <v>8187576.0</v>
      </c>
      <c r="AA10" s="177">
        <f t="shared" si="6"/>
        <v>0.003906284351</v>
      </c>
      <c r="AB10" s="53">
        <f t="shared" si="7"/>
        <v>333.971225</v>
      </c>
      <c r="AC10" s="54">
        <f t="shared" si="8"/>
        <v>130458657</v>
      </c>
      <c r="AD10" s="55">
        <f t="shared" si="9"/>
        <v>1.30458657</v>
      </c>
      <c r="AE10" s="178" t="s">
        <v>71</v>
      </c>
      <c r="AF10" s="155">
        <v>0.2</v>
      </c>
      <c r="AG10" s="44"/>
      <c r="AH10" s="45"/>
      <c r="AI10" s="167"/>
      <c r="AJ10" s="172">
        <f>AI34*(1-AF10)</f>
        <v>104366925.6</v>
      </c>
      <c r="AK10" s="45">
        <f t="shared" si="12"/>
        <v>0.043669256</v>
      </c>
      <c r="AL10" s="156">
        <f>AJ35</f>
        <v>0.3037574323</v>
      </c>
      <c r="AM10" s="169"/>
      <c r="AN10" s="160"/>
      <c r="AO10" s="161"/>
      <c r="AP10" s="162">
        <f t="shared" si="13"/>
        <v>1.043669256</v>
      </c>
      <c r="AQ10" s="148"/>
      <c r="AR10" s="29"/>
      <c r="AS10" s="29"/>
    </row>
    <row r="11" ht="16.5" customHeight="1">
      <c r="A11" s="30">
        <v>8.0</v>
      </c>
      <c r="B11" s="30" t="s">
        <v>74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>
        <f t="shared" si="1"/>
        <v>5</v>
      </c>
      <c r="J11" s="36" t="s">
        <v>48</v>
      </c>
      <c r="K11" s="164">
        <v>44944.0</v>
      </c>
      <c r="L11" s="39">
        <v>2023.0</v>
      </c>
      <c r="M11" s="171" t="s">
        <v>55</v>
      </c>
      <c r="N11" s="41" t="s">
        <v>71</v>
      </c>
      <c r="O11" s="69">
        <v>7356025.0</v>
      </c>
      <c r="P11" s="43" t="s">
        <v>72</v>
      </c>
      <c r="Q11" s="44">
        <f t="shared" si="15"/>
        <v>7356025</v>
      </c>
      <c r="R11" s="43">
        <v>2.0E8</v>
      </c>
      <c r="S11" s="43">
        <v>2.0E8</v>
      </c>
      <c r="T11" s="45" t="s">
        <v>72</v>
      </c>
      <c r="U11" s="70" t="s">
        <v>73</v>
      </c>
      <c r="V11" s="166" t="s">
        <v>55</v>
      </c>
      <c r="W11" s="173">
        <v>46021.0</v>
      </c>
      <c r="X11" s="174">
        <v>4079.0</v>
      </c>
      <c r="Y11" s="175">
        <v>63966.0</v>
      </c>
      <c r="Z11" s="176">
        <v>8187576.0</v>
      </c>
      <c r="AA11" s="177">
        <f t="shared" si="6"/>
        <v>0.007812568702</v>
      </c>
      <c r="AB11" s="53">
        <f t="shared" si="7"/>
        <v>333.971225</v>
      </c>
      <c r="AC11" s="54">
        <f t="shared" si="8"/>
        <v>260917314</v>
      </c>
      <c r="AD11" s="55">
        <f t="shared" si="9"/>
        <v>1.30458657</v>
      </c>
      <c r="AE11" s="178" t="s">
        <v>71</v>
      </c>
      <c r="AF11" s="155">
        <v>0.2</v>
      </c>
      <c r="AG11" s="44"/>
      <c r="AH11" s="45"/>
      <c r="AI11" s="167"/>
      <c r="AJ11" s="172">
        <f>AI37*(1-AF11)</f>
        <v>208733851.2</v>
      </c>
      <c r="AK11" s="45">
        <f t="shared" si="12"/>
        <v>0.043669256</v>
      </c>
      <c r="AL11" s="156">
        <f>AJ38</f>
        <v>0.3218559288</v>
      </c>
      <c r="AM11" s="169"/>
      <c r="AN11" s="160"/>
      <c r="AO11" s="161"/>
      <c r="AP11" s="162">
        <f t="shared" si="13"/>
        <v>1.043669256</v>
      </c>
      <c r="AQ11" s="148"/>
      <c r="AR11" s="29"/>
      <c r="AS11" s="29"/>
    </row>
    <row r="12" ht="16.5" customHeight="1">
      <c r="A12" s="30">
        <v>9.0</v>
      </c>
      <c r="B12" s="30" t="s">
        <v>75</v>
      </c>
      <c r="C12" s="31" t="s">
        <v>43</v>
      </c>
      <c r="D12" s="32" t="s">
        <v>76</v>
      </c>
      <c r="E12" s="33" t="s">
        <v>45</v>
      </c>
      <c r="F12" s="33" t="s">
        <v>46</v>
      </c>
      <c r="G12" s="33" t="s">
        <v>47</v>
      </c>
      <c r="H12" s="34">
        <v>43079.0</v>
      </c>
      <c r="I12" s="35">
        <f t="shared" si="1"/>
        <v>7</v>
      </c>
      <c r="J12" s="36" t="s">
        <v>48</v>
      </c>
      <c r="K12" s="164">
        <v>44715.0</v>
      </c>
      <c r="L12" s="39">
        <v>2022.0</v>
      </c>
      <c r="M12" s="171" t="s">
        <v>62</v>
      </c>
      <c r="N12" s="41" t="s">
        <v>56</v>
      </c>
      <c r="O12" s="66">
        <v>583089.0</v>
      </c>
      <c r="P12" s="43">
        <v>3101.0</v>
      </c>
      <c r="Q12" s="44">
        <f t="shared" ref="Q12:Q14" si="16">O12+P12</f>
        <v>586190</v>
      </c>
      <c r="R12" s="43">
        <v>32243.0</v>
      </c>
      <c r="S12" s="44">
        <f t="shared" ref="S12:S14" si="17">R12*P12</f>
        <v>99985543</v>
      </c>
      <c r="T12" s="45">
        <f t="shared" ref="T12:T14" si="18">P12/Q12</f>
        <v>0.005290093656</v>
      </c>
      <c r="U12" s="46">
        <f t="shared" ref="U12:U14" si="19">Q12*R12/100000000</f>
        <v>189.0052417</v>
      </c>
      <c r="V12" s="166" t="s">
        <v>62</v>
      </c>
      <c r="W12" s="152">
        <v>45317.0</v>
      </c>
      <c r="X12" s="153">
        <v>34155.0</v>
      </c>
      <c r="Y12" s="51">
        <v>3101.0</v>
      </c>
      <c r="Z12" s="50">
        <v>661696.0</v>
      </c>
      <c r="AA12" s="52">
        <f t="shared" si="6"/>
        <v>0.004686442112</v>
      </c>
      <c r="AB12" s="53">
        <f t="shared" si="7"/>
        <v>226.0022688</v>
      </c>
      <c r="AC12" s="54">
        <f t="shared" si="8"/>
        <v>105914655</v>
      </c>
      <c r="AD12" s="55">
        <f t="shared" si="9"/>
        <v>1.059299693</v>
      </c>
      <c r="AE12" s="154" t="s">
        <v>56</v>
      </c>
      <c r="AF12" s="155">
        <v>0.1</v>
      </c>
      <c r="AG12" s="44"/>
      <c r="AH12" s="45"/>
      <c r="AI12" s="167"/>
      <c r="AJ12" s="169"/>
      <c r="AK12" s="179"/>
      <c r="AL12" s="180"/>
      <c r="AM12" s="172">
        <f>sum(AI44:AI47)</f>
        <v>118412925</v>
      </c>
      <c r="AN12" s="45">
        <f t="shared" ref="AN12:AN13" si="20">(AM12-S12)/S12</f>
        <v>0.1843004643</v>
      </c>
      <c r="AO12" s="156">
        <f>AJ47</f>
        <v>0.04010263467</v>
      </c>
      <c r="AP12" s="162">
        <f t="shared" ref="AP12:AP13" si="21">AM12/S12</f>
        <v>1.184300464</v>
      </c>
      <c r="AQ12" s="148"/>
      <c r="AR12" s="29"/>
      <c r="AS12" s="29"/>
    </row>
    <row r="13" ht="16.5" customHeight="1">
      <c r="A13" s="30">
        <v>10.0</v>
      </c>
      <c r="B13" s="30" t="s">
        <v>77</v>
      </c>
      <c r="C13" s="31" t="s">
        <v>43</v>
      </c>
      <c r="D13" s="32" t="s">
        <v>76</v>
      </c>
      <c r="E13" s="33" t="s">
        <v>45</v>
      </c>
      <c r="F13" s="33" t="s">
        <v>46</v>
      </c>
      <c r="G13" s="33" t="s">
        <v>47</v>
      </c>
      <c r="H13" s="34">
        <v>43079.0</v>
      </c>
      <c r="I13" s="35">
        <f t="shared" si="1"/>
        <v>7</v>
      </c>
      <c r="J13" s="36" t="s">
        <v>48</v>
      </c>
      <c r="K13" s="164">
        <v>44936.0</v>
      </c>
      <c r="L13" s="39">
        <v>2023.0</v>
      </c>
      <c r="M13" s="171" t="s">
        <v>62</v>
      </c>
      <c r="N13" s="33" t="s">
        <v>56</v>
      </c>
      <c r="O13" s="66">
        <v>583089.0</v>
      </c>
      <c r="P13" s="43">
        <v>2482.0</v>
      </c>
      <c r="Q13" s="44">
        <f t="shared" si="16"/>
        <v>585571</v>
      </c>
      <c r="R13" s="43">
        <v>40304.0</v>
      </c>
      <c r="S13" s="44">
        <f t="shared" si="17"/>
        <v>100034528</v>
      </c>
      <c r="T13" s="45">
        <f t="shared" si="18"/>
        <v>0.004238597881</v>
      </c>
      <c r="U13" s="46">
        <f t="shared" si="19"/>
        <v>236.0085358</v>
      </c>
      <c r="V13" s="166" t="s">
        <v>62</v>
      </c>
      <c r="W13" s="152">
        <v>45317.0</v>
      </c>
      <c r="X13" s="153">
        <v>34155.0</v>
      </c>
      <c r="Y13" s="51">
        <v>2482.0</v>
      </c>
      <c r="Z13" s="50">
        <v>661696.0</v>
      </c>
      <c r="AA13" s="52">
        <f t="shared" si="6"/>
        <v>0.003750967212</v>
      </c>
      <c r="AB13" s="53">
        <f t="shared" si="7"/>
        <v>226.0022688</v>
      </c>
      <c r="AC13" s="54">
        <f t="shared" si="8"/>
        <v>84772710</v>
      </c>
      <c r="AD13" s="55">
        <f t="shared" si="9"/>
        <v>0.8474344978</v>
      </c>
      <c r="AE13" s="154" t="s">
        <v>56</v>
      </c>
      <c r="AF13" s="155">
        <v>0.1</v>
      </c>
      <c r="AG13" s="44"/>
      <c r="AH13" s="45"/>
      <c r="AI13" s="167" t="str">
        <f>AG36</f>
        <v/>
      </c>
      <c r="AJ13" s="169"/>
      <c r="AK13" s="179"/>
      <c r="AL13" s="180"/>
      <c r="AM13" s="172">
        <f>sum(AI49:AI52)</f>
        <v>94778644</v>
      </c>
      <c r="AN13" s="45">
        <f t="shared" si="20"/>
        <v>-0.05254069875</v>
      </c>
      <c r="AO13" s="156">
        <f>AJ52</f>
        <v>-0.01449363197</v>
      </c>
      <c r="AP13" s="162">
        <f t="shared" si="21"/>
        <v>0.9474593013</v>
      </c>
      <c r="AQ13" s="148"/>
      <c r="AR13" s="29"/>
      <c r="AS13" s="29"/>
    </row>
    <row r="14" ht="16.5" customHeight="1">
      <c r="A14" s="30">
        <v>11.0</v>
      </c>
      <c r="B14" s="30" t="s">
        <v>78</v>
      </c>
      <c r="C14" s="31" t="s">
        <v>64</v>
      </c>
      <c r="D14" s="32" t="s">
        <v>79</v>
      </c>
      <c r="E14" s="33" t="s">
        <v>45</v>
      </c>
      <c r="F14" s="33" t="s">
        <v>46</v>
      </c>
      <c r="G14" s="33" t="s">
        <v>47</v>
      </c>
      <c r="H14" s="34">
        <v>43763.0</v>
      </c>
      <c r="I14" s="35">
        <f t="shared" si="1"/>
        <v>5</v>
      </c>
      <c r="J14" s="36" t="s">
        <v>48</v>
      </c>
      <c r="K14" s="164">
        <v>44683.0</v>
      </c>
      <c r="L14" s="39">
        <v>2022.0</v>
      </c>
      <c r="M14" s="171" t="s">
        <v>55</v>
      </c>
      <c r="N14" s="41" t="s">
        <v>56</v>
      </c>
      <c r="O14" s="42">
        <v>100000.0</v>
      </c>
      <c r="P14" s="43">
        <v>3705.0</v>
      </c>
      <c r="Q14" s="44">
        <f t="shared" si="16"/>
        <v>103705</v>
      </c>
      <c r="R14" s="43">
        <v>27000.0</v>
      </c>
      <c r="S14" s="44">
        <f t="shared" si="17"/>
        <v>100035000</v>
      </c>
      <c r="T14" s="45">
        <f t="shared" si="18"/>
        <v>0.03572633914</v>
      </c>
      <c r="U14" s="46">
        <f t="shared" si="19"/>
        <v>28.00035</v>
      </c>
      <c r="V14" s="166" t="s">
        <v>54</v>
      </c>
      <c r="W14" s="152">
        <v>44684.0</v>
      </c>
      <c r="X14" s="153">
        <v>27000.0</v>
      </c>
      <c r="Y14" s="51">
        <v>3705.0</v>
      </c>
      <c r="Z14" s="50">
        <v>103705.0</v>
      </c>
      <c r="AA14" s="52">
        <f t="shared" si="6"/>
        <v>0.03572633914</v>
      </c>
      <c r="AB14" s="53">
        <f t="shared" si="7"/>
        <v>28.00035</v>
      </c>
      <c r="AC14" s="54">
        <f t="shared" si="8"/>
        <v>100035000</v>
      </c>
      <c r="AD14" s="55">
        <f t="shared" si="9"/>
        <v>1</v>
      </c>
      <c r="AE14" s="154" t="s">
        <v>56</v>
      </c>
      <c r="AF14" s="155">
        <v>0.0</v>
      </c>
      <c r="AG14" s="181">
        <v>0.0</v>
      </c>
      <c r="AH14" s="45">
        <f t="shared" ref="AH14:AH15" si="22">(AG14-S14)/S14</f>
        <v>-1</v>
      </c>
      <c r="AI14" s="156">
        <f>AG38</f>
        <v>0</v>
      </c>
      <c r="AJ14" s="157"/>
      <c r="AK14" s="182"/>
      <c r="AL14" s="183"/>
      <c r="AM14" s="157"/>
      <c r="AN14" s="160"/>
      <c r="AO14" s="161"/>
      <c r="AP14" s="184">
        <f>AM14/AA14</f>
        <v>0</v>
      </c>
      <c r="AQ14" s="148"/>
      <c r="AR14" s="29"/>
      <c r="AS14" s="29"/>
    </row>
    <row r="15" ht="16.5" customHeight="1">
      <c r="A15" s="30">
        <v>12.0</v>
      </c>
      <c r="B15" s="30" t="s">
        <v>81</v>
      </c>
      <c r="C15" s="31" t="s">
        <v>64</v>
      </c>
      <c r="D15" s="32" t="s">
        <v>82</v>
      </c>
      <c r="E15" s="33" t="s">
        <v>45</v>
      </c>
      <c r="F15" s="33" t="s">
        <v>46</v>
      </c>
      <c r="G15" s="33" t="s">
        <v>47</v>
      </c>
      <c r="H15" s="34">
        <v>44568.0</v>
      </c>
      <c r="I15" s="35">
        <f t="shared" si="1"/>
        <v>3</v>
      </c>
      <c r="J15" s="36" t="s">
        <v>48</v>
      </c>
      <c r="K15" s="164">
        <v>44694.0</v>
      </c>
      <c r="L15" s="39">
        <v>2022.0</v>
      </c>
      <c r="M15" s="171" t="s">
        <v>55</v>
      </c>
      <c r="N15" s="41" t="s">
        <v>71</v>
      </c>
      <c r="O15" s="69"/>
      <c r="P15" s="43"/>
      <c r="Q15" s="44"/>
      <c r="R15" s="43">
        <v>1.0E8</v>
      </c>
      <c r="S15" s="43">
        <v>1.0E8</v>
      </c>
      <c r="T15" s="45"/>
      <c r="U15" s="69" t="s">
        <v>84</v>
      </c>
      <c r="V15" s="185" t="s">
        <v>55</v>
      </c>
      <c r="W15" s="152" t="s">
        <v>54</v>
      </c>
      <c r="X15" s="153">
        <v>1.0E8</v>
      </c>
      <c r="Y15" s="51" t="s">
        <v>72</v>
      </c>
      <c r="Z15" s="186" t="s">
        <v>54</v>
      </c>
      <c r="AA15" s="125" t="s">
        <v>128</v>
      </c>
      <c r="AB15" s="76" t="s">
        <v>84</v>
      </c>
      <c r="AC15" s="50">
        <v>1.0E8</v>
      </c>
      <c r="AD15" s="55">
        <f t="shared" si="9"/>
        <v>1</v>
      </c>
      <c r="AE15" s="154" t="s">
        <v>54</v>
      </c>
      <c r="AF15" s="184"/>
      <c r="AG15" s="181">
        <v>1.58870002E8</v>
      </c>
      <c r="AH15" s="45">
        <f t="shared" si="22"/>
        <v>0.58870002</v>
      </c>
      <c r="AI15" s="156">
        <f>AG41</f>
        <v>0.1356807001</v>
      </c>
      <c r="AJ15" s="157"/>
      <c r="AK15" s="182"/>
      <c r="AL15" s="183"/>
      <c r="AM15" s="157"/>
      <c r="AN15" s="160"/>
      <c r="AO15" s="161"/>
      <c r="AP15" s="162">
        <f>AG15/S15</f>
        <v>1.58870002</v>
      </c>
      <c r="AQ15" s="148"/>
      <c r="AR15" s="29"/>
      <c r="AS15" s="29"/>
    </row>
    <row r="16" ht="16.5" customHeight="1">
      <c r="A16" s="30">
        <v>13.0</v>
      </c>
      <c r="B16" s="30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>
        <f t="shared" si="1"/>
        <v>7</v>
      </c>
      <c r="J16" s="36" t="s">
        <v>48</v>
      </c>
      <c r="K16" s="164">
        <v>45107.0</v>
      </c>
      <c r="L16" s="39">
        <v>2023.0</v>
      </c>
      <c r="M16" s="171" t="s">
        <v>57</v>
      </c>
      <c r="N16" s="41" t="s">
        <v>56</v>
      </c>
      <c r="O16" s="42">
        <v>27683.0</v>
      </c>
      <c r="P16" s="43">
        <v>416.0</v>
      </c>
      <c r="Q16" s="44">
        <f t="shared" ref="Q16:Q19" si="23">O16+P16</f>
        <v>28099</v>
      </c>
      <c r="R16" s="43">
        <v>722470.0</v>
      </c>
      <c r="S16" s="44">
        <f t="shared" ref="S16:S19" si="24">R16*P16</f>
        <v>300547520</v>
      </c>
      <c r="T16" s="45">
        <f t="shared" ref="T16:T19" si="25">P16/Q16</f>
        <v>0.01480479732</v>
      </c>
      <c r="U16" s="46">
        <f t="shared" ref="U16:U19" si="26">Q16*R16/100000000</f>
        <v>203.0068453</v>
      </c>
      <c r="V16" s="166" t="s">
        <v>57</v>
      </c>
      <c r="W16" s="152">
        <v>45597.0</v>
      </c>
      <c r="X16" s="153">
        <v>327150.0</v>
      </c>
      <c r="Y16" s="51">
        <v>416.0</v>
      </c>
      <c r="Z16" s="50">
        <v>30568.0</v>
      </c>
      <c r="AA16" s="52">
        <f t="shared" ref="AA16:AA19" si="27">Y16/Z16</f>
        <v>0.01360900288</v>
      </c>
      <c r="AB16" s="53">
        <f t="shared" ref="AB16:AB19" si="28">Z16*X16/100000000</f>
        <v>100.003212</v>
      </c>
      <c r="AC16" s="54">
        <f t="shared" ref="AC16:AC19" si="29">X16*Y16</f>
        <v>136094400</v>
      </c>
      <c r="AD16" s="55">
        <f t="shared" si="9"/>
        <v>0.4528215704</v>
      </c>
      <c r="AE16" s="154" t="s">
        <v>56</v>
      </c>
      <c r="AF16" s="155">
        <v>0.1</v>
      </c>
      <c r="AG16" s="44"/>
      <c r="AH16" s="184"/>
      <c r="AI16" s="167"/>
      <c r="AJ16" s="169"/>
      <c r="AK16" s="179"/>
      <c r="AL16" s="180"/>
      <c r="AM16" s="187">
        <f>SUM(AL44:AL51)</f>
        <v>188562865</v>
      </c>
      <c r="AN16" s="45">
        <f t="shared" ref="AN16:AN17" si="30">(AM16-S16)/S16</f>
        <v>-0.3726021596</v>
      </c>
      <c r="AO16" s="156">
        <f>AM51</f>
        <v>-0.1353484794</v>
      </c>
      <c r="AP16" s="162">
        <f t="shared" ref="AP16:AP17" si="31">AM16/S16</f>
        <v>0.6273978404</v>
      </c>
      <c r="AQ16" s="148"/>
      <c r="AR16" s="29"/>
      <c r="AS16" s="29"/>
    </row>
    <row r="17" ht="16.5" customHeight="1">
      <c r="A17" s="30">
        <v>14.0</v>
      </c>
      <c r="B17" s="30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>
        <f t="shared" si="1"/>
        <v>7</v>
      </c>
      <c r="J17" s="36" t="s">
        <v>48</v>
      </c>
      <c r="K17" s="164">
        <v>45254.0</v>
      </c>
      <c r="L17" s="39">
        <v>2023.0</v>
      </c>
      <c r="M17" s="171" t="s">
        <v>57</v>
      </c>
      <c r="N17" s="41" t="s">
        <v>56</v>
      </c>
      <c r="O17" s="42">
        <v>28099.0</v>
      </c>
      <c r="P17" s="43">
        <v>139.0</v>
      </c>
      <c r="Q17" s="44">
        <f t="shared" si="23"/>
        <v>28238</v>
      </c>
      <c r="R17" s="43">
        <v>722470.0</v>
      </c>
      <c r="S17" s="44">
        <f t="shared" si="24"/>
        <v>100423330</v>
      </c>
      <c r="T17" s="45">
        <f t="shared" si="25"/>
        <v>0.004922444932</v>
      </c>
      <c r="U17" s="46">
        <f t="shared" si="26"/>
        <v>204.0110786</v>
      </c>
      <c r="V17" s="166" t="s">
        <v>57</v>
      </c>
      <c r="W17" s="152">
        <v>45597.0</v>
      </c>
      <c r="X17" s="153">
        <v>327150.0</v>
      </c>
      <c r="Y17" s="51">
        <v>139.0</v>
      </c>
      <c r="Z17" s="50">
        <v>30568.0</v>
      </c>
      <c r="AA17" s="52">
        <f t="shared" si="27"/>
        <v>0.004547238943</v>
      </c>
      <c r="AB17" s="53">
        <f t="shared" si="28"/>
        <v>100.003212</v>
      </c>
      <c r="AC17" s="54">
        <f t="shared" si="29"/>
        <v>45473850</v>
      </c>
      <c r="AD17" s="55">
        <f t="shared" si="9"/>
        <v>0.4528215704</v>
      </c>
      <c r="AE17" s="154" t="s">
        <v>56</v>
      </c>
      <c r="AF17" s="155">
        <v>0.1</v>
      </c>
      <c r="AG17" s="44"/>
      <c r="AH17" s="184"/>
      <c r="AI17" s="167"/>
      <c r="AJ17" s="169"/>
      <c r="AK17" s="179"/>
      <c r="AL17" s="180"/>
      <c r="AM17" s="187">
        <f>SUM(AL53:AL60)</f>
        <v>63005385</v>
      </c>
      <c r="AN17" s="45">
        <f t="shared" si="30"/>
        <v>-0.3726021135</v>
      </c>
      <c r="AO17" s="156">
        <f>AM60</f>
        <v>-0.1532230613</v>
      </c>
      <c r="AP17" s="162">
        <f t="shared" si="31"/>
        <v>0.6273978865</v>
      </c>
      <c r="AQ17" s="148"/>
      <c r="AR17" s="29"/>
      <c r="AS17" s="29"/>
    </row>
    <row r="18" ht="16.5" customHeight="1">
      <c r="A18" s="30">
        <v>15.0</v>
      </c>
      <c r="B18" s="30" t="s">
        <v>93</v>
      </c>
      <c r="C18" s="31" t="s">
        <v>69</v>
      </c>
      <c r="D18" s="33" t="s">
        <v>94</v>
      </c>
      <c r="E18" s="33" t="s">
        <v>45</v>
      </c>
      <c r="F18" s="33" t="s">
        <v>46</v>
      </c>
      <c r="G18" s="33" t="s">
        <v>47</v>
      </c>
      <c r="H18" s="34">
        <v>44055.0</v>
      </c>
      <c r="I18" s="35">
        <f t="shared" si="1"/>
        <v>5</v>
      </c>
      <c r="J18" s="36" t="s">
        <v>48</v>
      </c>
      <c r="K18" s="164">
        <v>45127.0</v>
      </c>
      <c r="L18" s="39">
        <v>2023.0</v>
      </c>
      <c r="M18" s="171" t="s">
        <v>62</v>
      </c>
      <c r="N18" s="41" t="s">
        <v>56</v>
      </c>
      <c r="O18" s="42">
        <v>373763.0</v>
      </c>
      <c r="P18" s="43">
        <v>4477.0</v>
      </c>
      <c r="Q18" s="44">
        <f t="shared" si="23"/>
        <v>378240</v>
      </c>
      <c r="R18" s="43">
        <v>44680.0</v>
      </c>
      <c r="S18" s="44">
        <f t="shared" si="24"/>
        <v>200032360</v>
      </c>
      <c r="T18" s="45">
        <f t="shared" si="25"/>
        <v>0.01183640017</v>
      </c>
      <c r="U18" s="46">
        <f t="shared" si="26"/>
        <v>168.997632</v>
      </c>
      <c r="V18" s="188" t="s">
        <v>109</v>
      </c>
      <c r="W18" s="152">
        <v>45777.0</v>
      </c>
      <c r="X18" s="189">
        <v>56911.0</v>
      </c>
      <c r="Y18" s="51">
        <v>4477.0</v>
      </c>
      <c r="Z18" s="77">
        <v>432169.0</v>
      </c>
      <c r="AA18" s="52">
        <f t="shared" si="27"/>
        <v>0.0103593733</v>
      </c>
      <c r="AB18" s="53">
        <f t="shared" si="28"/>
        <v>245.9516996</v>
      </c>
      <c r="AC18" s="54">
        <f t="shared" si="29"/>
        <v>254790547</v>
      </c>
      <c r="AD18" s="55">
        <f t="shared" si="9"/>
        <v>1.273746643</v>
      </c>
      <c r="AE18" s="154" t="s">
        <v>56</v>
      </c>
      <c r="AF18" s="155">
        <v>0.1</v>
      </c>
      <c r="AG18" s="44"/>
      <c r="AH18" s="184"/>
      <c r="AI18" s="167"/>
      <c r="AJ18" s="168">
        <f t="shared" ref="AJ18:AJ19" si="32">AC18*(1-AF18)</f>
        <v>229311492.3</v>
      </c>
      <c r="AK18" s="45">
        <f t="shared" ref="AK18:AK19" si="33">(AJ18-S18)/S18</f>
        <v>0.1463719785</v>
      </c>
      <c r="AL18" s="156">
        <f>AG44</f>
        <v>0.1455345058</v>
      </c>
      <c r="AM18" s="169"/>
      <c r="AN18" s="160"/>
      <c r="AO18" s="161"/>
      <c r="AP18" s="162">
        <f t="shared" ref="AP18:AP19" si="34">AJ18/S18</f>
        <v>1.146371979</v>
      </c>
      <c r="AQ18" s="148"/>
      <c r="AR18" s="29"/>
      <c r="AS18" s="29"/>
    </row>
    <row r="19" ht="16.5" customHeight="1">
      <c r="A19" s="30">
        <v>16.0</v>
      </c>
      <c r="B19" s="30" t="s">
        <v>98</v>
      </c>
      <c r="C19" s="31" t="s">
        <v>69</v>
      </c>
      <c r="D19" s="33" t="s">
        <v>94</v>
      </c>
      <c r="E19" s="33" t="s">
        <v>45</v>
      </c>
      <c r="F19" s="33" t="s">
        <v>46</v>
      </c>
      <c r="G19" s="33" t="s">
        <v>47</v>
      </c>
      <c r="H19" s="34">
        <v>44055.0</v>
      </c>
      <c r="I19" s="35">
        <f t="shared" si="1"/>
        <v>5</v>
      </c>
      <c r="J19" s="36" t="s">
        <v>48</v>
      </c>
      <c r="K19" s="149">
        <v>45265.0</v>
      </c>
      <c r="L19" s="39">
        <v>2023.0</v>
      </c>
      <c r="M19" s="165" t="s">
        <v>62</v>
      </c>
      <c r="N19" s="41" t="s">
        <v>56</v>
      </c>
      <c r="O19" s="42">
        <v>382716.0</v>
      </c>
      <c r="P19" s="43">
        <v>2239.0</v>
      </c>
      <c r="Q19" s="44">
        <f t="shared" si="23"/>
        <v>384955</v>
      </c>
      <c r="R19" s="43">
        <v>44680.0</v>
      </c>
      <c r="S19" s="44">
        <f t="shared" si="24"/>
        <v>100038520</v>
      </c>
      <c r="T19" s="45">
        <f t="shared" si="25"/>
        <v>0.005816264239</v>
      </c>
      <c r="U19" s="46">
        <f t="shared" si="26"/>
        <v>171.997894</v>
      </c>
      <c r="V19" s="188" t="s">
        <v>109</v>
      </c>
      <c r="W19" s="152">
        <v>45777.0</v>
      </c>
      <c r="X19" s="189">
        <v>56911.0</v>
      </c>
      <c r="Y19" s="51">
        <v>2239.0</v>
      </c>
      <c r="Z19" s="77">
        <v>432169.0</v>
      </c>
      <c r="AA19" s="52">
        <f t="shared" si="27"/>
        <v>0.005180843605</v>
      </c>
      <c r="AB19" s="53">
        <f t="shared" si="28"/>
        <v>245.9516996</v>
      </c>
      <c r="AC19" s="54">
        <f t="shared" si="29"/>
        <v>127423729</v>
      </c>
      <c r="AD19" s="55">
        <f t="shared" si="9"/>
        <v>1.273746643</v>
      </c>
      <c r="AE19" s="154" t="s">
        <v>56</v>
      </c>
      <c r="AF19" s="155">
        <v>0.1</v>
      </c>
      <c r="AG19" s="44"/>
      <c r="AH19" s="184"/>
      <c r="AI19" s="167"/>
      <c r="AJ19" s="168">
        <f t="shared" si="32"/>
        <v>114681356.1</v>
      </c>
      <c r="AK19" s="45">
        <f t="shared" si="33"/>
        <v>0.1463719785</v>
      </c>
      <c r="AL19" s="156">
        <f>AG46</f>
        <v>0.1882634064</v>
      </c>
      <c r="AM19" s="169"/>
      <c r="AN19" s="160"/>
      <c r="AO19" s="161"/>
      <c r="AP19" s="162">
        <f t="shared" si="34"/>
        <v>1.146371979</v>
      </c>
      <c r="AQ19" s="148"/>
      <c r="AR19" s="29"/>
      <c r="AS19" s="29"/>
    </row>
    <row r="20" ht="16.5" customHeight="1">
      <c r="A20" s="78"/>
      <c r="B20" s="78"/>
      <c r="C20" s="79"/>
      <c r="D20" s="79"/>
      <c r="E20" s="79"/>
      <c r="F20" s="79"/>
      <c r="G20" s="79"/>
      <c r="H20" s="80"/>
      <c r="I20" s="81"/>
      <c r="J20" s="79"/>
      <c r="K20" s="80"/>
      <c r="L20" s="81"/>
      <c r="M20" s="81"/>
      <c r="N20" s="82"/>
      <c r="O20" s="82"/>
      <c r="P20" s="83"/>
      <c r="Q20" s="83"/>
      <c r="R20" s="83"/>
      <c r="S20" s="83"/>
      <c r="T20" s="83"/>
      <c r="U20" s="83"/>
      <c r="V20" s="81"/>
      <c r="W20" s="81"/>
      <c r="X20" s="83"/>
      <c r="Y20" s="83"/>
      <c r="Z20" s="83"/>
      <c r="AA20" s="83"/>
      <c r="AB20" s="84"/>
      <c r="AC20" s="85"/>
      <c r="AD20" s="85"/>
      <c r="AE20" s="86"/>
      <c r="AF20" s="86"/>
      <c r="AG20" s="83"/>
      <c r="AH20" s="85"/>
      <c r="AI20" s="85"/>
      <c r="AJ20" s="85"/>
      <c r="AK20" s="85"/>
      <c r="AL20" s="85"/>
      <c r="AM20" s="85"/>
      <c r="AN20" s="85"/>
      <c r="AO20" s="85"/>
      <c r="AP20" s="85"/>
      <c r="AQ20" s="8"/>
      <c r="AR20" s="8"/>
      <c r="AS20" s="8"/>
    </row>
    <row r="21" ht="16.5" customHeight="1">
      <c r="A21" s="190" t="s">
        <v>100</v>
      </c>
      <c r="B21" s="89"/>
      <c r="C21" s="89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/>
      <c r="Q21" s="91"/>
      <c r="R21" s="91"/>
      <c r="S21" s="91">
        <f>SUM(S4:S20)</f>
        <v>2302227971</v>
      </c>
      <c r="T21" s="91"/>
      <c r="U21" s="91"/>
      <c r="V21" s="91"/>
      <c r="W21" s="91"/>
      <c r="X21" s="92"/>
      <c r="Y21" s="91"/>
      <c r="Z21" s="91"/>
      <c r="AA21" s="91"/>
      <c r="AB21" s="91"/>
      <c r="AC21" s="91">
        <f>SUM(AC4:AC19)</f>
        <v>4367508422</v>
      </c>
      <c r="AD21" s="93">
        <f>AC21/S21</f>
        <v>1.897079037</v>
      </c>
      <c r="AE21" s="91"/>
      <c r="AF21" s="91"/>
      <c r="AG21" s="191">
        <f>SUM(AG4:AG19)</f>
        <v>258320002</v>
      </c>
      <c r="AH21" s="93"/>
      <c r="AI21" s="93"/>
      <c r="AJ21" s="192">
        <f>SUM(AJ4:AJ19)</f>
        <v>3290872042</v>
      </c>
      <c r="AK21" s="93"/>
      <c r="AL21" s="93"/>
      <c r="AM21" s="192">
        <f>SUM(AM4:AM19)</f>
        <v>464759819</v>
      </c>
      <c r="AN21" s="93"/>
      <c r="AO21" s="93"/>
      <c r="AP21" s="93">
        <f>(AM21+AJ21+AG21)/$S$21</f>
        <v>1.743507556</v>
      </c>
      <c r="AQ21" s="96"/>
      <c r="AR21" s="193" t="s">
        <v>129</v>
      </c>
      <c r="AS21" s="96"/>
    </row>
    <row r="22" ht="16.5" customHeight="1">
      <c r="A22" s="8"/>
      <c r="B22" s="78"/>
      <c r="C22" s="78"/>
      <c r="D22" s="7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98"/>
      <c r="R22" s="98"/>
      <c r="S22" s="98"/>
      <c r="T22" s="98"/>
      <c r="U22" s="98"/>
      <c r="V22" s="98"/>
      <c r="W22" s="98"/>
      <c r="X22" s="99"/>
      <c r="Y22" s="98"/>
      <c r="Z22" s="98"/>
      <c r="AA22" s="98"/>
      <c r="AB22" s="98"/>
      <c r="AC22" s="100"/>
      <c r="AD22" s="100"/>
      <c r="AE22" s="98"/>
      <c r="AF22" s="98"/>
      <c r="AG22" s="101"/>
      <c r="AH22" s="98"/>
      <c r="AI22" s="98"/>
      <c r="AJ22" s="98"/>
      <c r="AK22" s="98"/>
      <c r="AL22" s="98"/>
      <c r="AM22" s="98"/>
      <c r="AN22" s="98"/>
      <c r="AO22" s="98"/>
      <c r="AP22" s="98"/>
      <c r="AQ22" s="29"/>
      <c r="AR22" s="193" t="s">
        <v>130</v>
      </c>
      <c r="AS22" s="29"/>
    </row>
    <row r="23" ht="16.5" customHeight="1">
      <c r="A23" s="8"/>
      <c r="B23" s="79" t="s">
        <v>101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194" t="s">
        <v>131</v>
      </c>
      <c r="AF23" s="195"/>
      <c r="AG23" s="196"/>
      <c r="AH23" s="195"/>
      <c r="AI23" s="195"/>
      <c r="AJ23" s="197"/>
      <c r="AK23" s="197"/>
      <c r="AL23" s="197"/>
      <c r="AM23" s="197"/>
      <c r="AN23" s="197"/>
      <c r="AO23" s="197"/>
      <c r="AP23" s="197"/>
      <c r="AQ23" s="29"/>
      <c r="AR23" s="193" t="s">
        <v>132</v>
      </c>
      <c r="AS23" s="29"/>
    </row>
    <row r="24" ht="16.5" customHeight="1">
      <c r="A24" s="8"/>
      <c r="B24" s="104" t="s">
        <v>102</v>
      </c>
      <c r="C24" s="104"/>
      <c r="D24" s="104" t="s">
        <v>110</v>
      </c>
      <c r="E24" s="104" t="s">
        <v>103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8"/>
      <c r="Q24" s="8"/>
      <c r="R24" s="8"/>
      <c r="S24" s="8"/>
      <c r="T24" s="8"/>
      <c r="U24" s="8"/>
      <c r="V24" s="8"/>
      <c r="W24" s="104" t="s">
        <v>102</v>
      </c>
      <c r="X24" s="104"/>
      <c r="Y24" s="104" t="s">
        <v>110</v>
      </c>
      <c r="Z24" s="104" t="s">
        <v>103</v>
      </c>
      <c r="AA24" s="8"/>
      <c r="AB24" s="8"/>
      <c r="AC24" s="8"/>
      <c r="AD24" s="8"/>
      <c r="AE24" s="198" t="s">
        <v>133</v>
      </c>
      <c r="AF24" s="195"/>
      <c r="AG24" s="196"/>
      <c r="AH24" s="199" t="s">
        <v>134</v>
      </c>
      <c r="AI24" s="195"/>
      <c r="AJ24" s="195"/>
      <c r="AK24" s="200" t="s">
        <v>135</v>
      </c>
      <c r="AL24" s="197"/>
      <c r="AM24" s="197"/>
      <c r="AN24" s="195"/>
      <c r="AO24" s="195"/>
      <c r="AP24" s="197"/>
      <c r="AQ24" s="29"/>
      <c r="AR24" s="29"/>
      <c r="AS24" s="29"/>
    </row>
    <row r="25" ht="16.5" customHeight="1">
      <c r="A25" s="8"/>
      <c r="B25" s="105">
        <v>44449.0</v>
      </c>
      <c r="C25" s="106"/>
      <c r="D25" s="106">
        <v>-1.1E7</v>
      </c>
      <c r="E25" s="106" t="s">
        <v>104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8"/>
      <c r="Q25" s="8"/>
      <c r="R25" s="8"/>
      <c r="S25" s="8"/>
      <c r="T25" s="8"/>
      <c r="U25" s="8"/>
      <c r="V25" s="8"/>
      <c r="W25" s="105">
        <v>44449.0</v>
      </c>
      <c r="X25" s="106"/>
      <c r="Y25" s="106">
        <v>-1.1E7</v>
      </c>
      <c r="Z25" s="106" t="s">
        <v>104</v>
      </c>
      <c r="AA25" s="8"/>
      <c r="AB25" s="8"/>
      <c r="AC25" s="8"/>
      <c r="AD25" s="8"/>
      <c r="AE25" s="201">
        <f>K4</f>
        <v>44528</v>
      </c>
      <c r="AF25" s="202">
        <f>-S4</f>
        <v>-99450000</v>
      </c>
      <c r="AG25" s="203"/>
      <c r="AH25" s="204">
        <f>K8</f>
        <v>44932</v>
      </c>
      <c r="AI25" s="205">
        <f>-S8</f>
        <v>-99947890</v>
      </c>
      <c r="AJ25" s="195"/>
      <c r="AK25" s="204">
        <f t="shared" ref="AK25:AL25" si="35">AH25</f>
        <v>44932</v>
      </c>
      <c r="AL25" s="205">
        <f t="shared" si="35"/>
        <v>-99947890</v>
      </c>
      <c r="AM25" s="195"/>
      <c r="AP25" s="197"/>
      <c r="AQ25" s="29"/>
      <c r="AR25" s="29"/>
      <c r="AS25" s="29"/>
    </row>
    <row r="26" ht="16.5" customHeight="1">
      <c r="A26" s="8"/>
      <c r="B26" s="107">
        <v>44454.0</v>
      </c>
      <c r="C26" s="108"/>
      <c r="D26" s="108">
        <v>-1.0E9</v>
      </c>
      <c r="E26" s="108" t="s">
        <v>105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8"/>
      <c r="Q26" s="8"/>
      <c r="R26" s="8"/>
      <c r="S26" s="8"/>
      <c r="T26" s="8"/>
      <c r="U26" s="8"/>
      <c r="V26" s="8"/>
      <c r="W26" s="107">
        <v>44454.0</v>
      </c>
      <c r="X26" s="108"/>
      <c r="Y26" s="108">
        <v>-1.0E9</v>
      </c>
      <c r="Z26" s="108" t="s">
        <v>105</v>
      </c>
      <c r="AA26" s="8"/>
      <c r="AB26" s="8"/>
      <c r="AC26" s="8"/>
      <c r="AD26" s="8"/>
      <c r="AE26" s="206">
        <f>W4</f>
        <v>44658</v>
      </c>
      <c r="AF26" s="202">
        <f>AC4</f>
        <v>99450000</v>
      </c>
      <c r="AG26" s="207">
        <f>XIRR(AF25:AF26, AE25:AE26)</f>
        <v>0</v>
      </c>
      <c r="AH26" s="206">
        <f>W8</f>
        <v>45563</v>
      </c>
      <c r="AI26" s="208">
        <f>AC8</f>
        <v>116217200</v>
      </c>
      <c r="AJ26" s="207">
        <f>XIRR(AI25:AI26, AH25:AH26)</f>
        <v>0.09115490346</v>
      </c>
      <c r="AK26" s="209">
        <v>46203.0</v>
      </c>
      <c r="AL26" s="210">
        <v>1.46647835E8</v>
      </c>
      <c r="AM26" s="207">
        <f>XIRR(AL25:AL26, AK25:AK26)</f>
        <v>0.1163883468</v>
      </c>
      <c r="AP26" s="197"/>
      <c r="AQ26" s="29"/>
      <c r="AR26" s="29"/>
      <c r="AS26" s="29"/>
    </row>
    <row r="27" ht="16.5" customHeight="1">
      <c r="A27" s="8"/>
      <c r="B27" s="105">
        <v>44666.0</v>
      </c>
      <c r="C27" s="106"/>
      <c r="D27" s="106">
        <v>-3.0E8</v>
      </c>
      <c r="E27" s="106" t="s">
        <v>105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"/>
      <c r="Q27" s="8"/>
      <c r="R27" s="8"/>
      <c r="S27" s="8"/>
      <c r="T27" s="8"/>
      <c r="U27" s="8"/>
      <c r="V27" s="8"/>
      <c r="W27" s="105">
        <v>44666.0</v>
      </c>
      <c r="X27" s="106"/>
      <c r="Y27" s="106">
        <v>-3.0E8</v>
      </c>
      <c r="Z27" s="106" t="s">
        <v>105</v>
      </c>
      <c r="AA27" s="8"/>
      <c r="AB27" s="8"/>
      <c r="AC27" s="8"/>
      <c r="AD27" s="8"/>
      <c r="AE27" s="211" t="s">
        <v>136</v>
      </c>
      <c r="AF27" s="212"/>
      <c r="AG27" s="213"/>
      <c r="AH27" s="204">
        <f>K9</f>
        <v>45562</v>
      </c>
      <c r="AI27" s="205">
        <f>-S9</f>
        <v>-200046000</v>
      </c>
      <c r="AJ27" s="195"/>
      <c r="AK27" s="204">
        <f t="shared" ref="AK27:AL27" si="36">AH27</f>
        <v>45562</v>
      </c>
      <c r="AL27" s="205">
        <f t="shared" si="36"/>
        <v>-200046000</v>
      </c>
      <c r="AM27" s="195"/>
      <c r="AP27" s="197"/>
      <c r="AQ27" s="29"/>
      <c r="AR27" s="29"/>
      <c r="AS27" s="29"/>
    </row>
    <row r="28" ht="16.5" customHeight="1">
      <c r="A28" s="8"/>
      <c r="B28" s="105">
        <v>44679.0</v>
      </c>
      <c r="C28" s="106"/>
      <c r="D28" s="106">
        <v>-3000000.0</v>
      </c>
      <c r="E28" s="109" t="s">
        <v>104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8"/>
      <c r="Q28" s="8"/>
      <c r="R28" s="8"/>
      <c r="S28" s="8"/>
      <c r="T28" s="8"/>
      <c r="U28" s="8"/>
      <c r="V28" s="8"/>
      <c r="W28" s="105">
        <v>44679.0</v>
      </c>
      <c r="X28" s="106"/>
      <c r="Y28" s="106">
        <v>-3000000.0</v>
      </c>
      <c r="Z28" s="109" t="s">
        <v>104</v>
      </c>
      <c r="AA28" s="8"/>
      <c r="AB28" s="8"/>
      <c r="AC28" s="8"/>
      <c r="AD28" s="8"/>
      <c r="AE28" s="204">
        <f>K5</f>
        <v>44498</v>
      </c>
      <c r="AF28" s="202">
        <f>-S5</f>
        <v>-101750000</v>
      </c>
      <c r="AG28" s="214"/>
      <c r="AH28" s="206">
        <f>W9</f>
        <v>45563</v>
      </c>
      <c r="AI28" s="208">
        <f>AC9</f>
        <v>200046000</v>
      </c>
      <c r="AJ28" s="207">
        <f>XIRR(AI27:AI28, AH27:AH28)</f>
        <v>0</v>
      </c>
      <c r="AK28" s="209">
        <v>46203.0</v>
      </c>
      <c r="AL28" s="215">
        <v>2.52426601E8</v>
      </c>
      <c r="AM28" s="207">
        <f>XIRR(AL27:AL28, AK27:AK28)</f>
        <v>0.1416019147</v>
      </c>
      <c r="AP28" s="197"/>
      <c r="AQ28" s="29"/>
      <c r="AR28" s="29"/>
      <c r="AS28" s="29"/>
    </row>
    <row r="29" ht="16.5" customHeight="1">
      <c r="A29" s="8"/>
      <c r="B29" s="105">
        <v>44931.0</v>
      </c>
      <c r="C29" s="106"/>
      <c r="D29" s="106">
        <v>-3.0E8</v>
      </c>
      <c r="E29" s="109" t="s">
        <v>105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8"/>
      <c r="Q29" s="8"/>
      <c r="R29" s="8"/>
      <c r="S29" s="8"/>
      <c r="T29" s="8"/>
      <c r="U29" s="8"/>
      <c r="V29" s="8"/>
      <c r="W29" s="105">
        <v>44931.0</v>
      </c>
      <c r="X29" s="106"/>
      <c r="Y29" s="106">
        <v>-3.0E8</v>
      </c>
      <c r="Z29" s="109" t="s">
        <v>105</v>
      </c>
      <c r="AA29" s="8"/>
      <c r="AB29" s="8"/>
      <c r="AC29" s="8"/>
      <c r="AD29" s="8"/>
      <c r="AE29" s="206">
        <f>W5</f>
        <v>45644</v>
      </c>
      <c r="AF29" s="216">
        <f>AC5</f>
        <v>1017280000</v>
      </c>
      <c r="AG29" s="207">
        <f>XIRR(AF28:AF29, AE28:AE29)</f>
        <v>1.081944829</v>
      </c>
      <c r="AH29" s="212"/>
      <c r="AI29" s="212"/>
      <c r="AJ29" s="207">
        <f>XIRR(AI25:AI28, AH25:AH28)</f>
        <v>0.09089589051</v>
      </c>
      <c r="AM29" s="207">
        <f>XIRR(AL25:AL28, AK25:AK28)</f>
        <v>0.1278568398</v>
      </c>
      <c r="AP29" s="8"/>
      <c r="AQ29" s="29"/>
      <c r="AR29" s="29"/>
      <c r="AS29" s="29"/>
    </row>
    <row r="30" ht="16.5" customHeight="1">
      <c r="A30" s="8"/>
      <c r="B30" s="105">
        <v>44931.0</v>
      </c>
      <c r="C30" s="106"/>
      <c r="D30" s="106">
        <v>-7000000.0</v>
      </c>
      <c r="E30" s="109" t="s">
        <v>104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"/>
      <c r="Q30" s="8"/>
      <c r="R30" s="8"/>
      <c r="S30" s="8"/>
      <c r="T30" s="8"/>
      <c r="U30" s="8"/>
      <c r="V30" s="8"/>
      <c r="W30" s="105">
        <v>44931.0</v>
      </c>
      <c r="X30" s="106"/>
      <c r="Y30" s="106">
        <v>-7000000.0</v>
      </c>
      <c r="Z30" s="109" t="s">
        <v>104</v>
      </c>
      <c r="AA30" s="8"/>
      <c r="AB30" s="8"/>
      <c r="AC30" s="8"/>
      <c r="AD30" s="8"/>
      <c r="AE30" s="204">
        <f>K6</f>
        <v>44671</v>
      </c>
      <c r="AF30" s="202">
        <f>-S6</f>
        <v>-299948210</v>
      </c>
      <c r="AG30" s="214"/>
      <c r="AH30" s="212"/>
      <c r="AI30" s="212"/>
      <c r="AJ30" s="212"/>
      <c r="AN30" s="8"/>
      <c r="AO30" s="8"/>
      <c r="AP30" s="8"/>
      <c r="AQ30" s="29"/>
      <c r="AR30" s="29"/>
      <c r="AS30" s="29"/>
    </row>
    <row r="31" ht="16.5" customHeight="1">
      <c r="A31" s="8"/>
      <c r="B31" s="105">
        <v>45065.0</v>
      </c>
      <c r="C31" s="106"/>
      <c r="D31" s="106">
        <v>-5.9E8</v>
      </c>
      <c r="E31" s="109" t="s">
        <v>105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"/>
      <c r="Q31" s="8"/>
      <c r="R31" s="8"/>
      <c r="S31" s="8"/>
      <c r="T31" s="8"/>
      <c r="U31" s="8"/>
      <c r="V31" s="8"/>
      <c r="W31" s="105">
        <v>45065.0</v>
      </c>
      <c r="X31" s="106"/>
      <c r="Y31" s="106">
        <v>-5.9E8</v>
      </c>
      <c r="Z31" s="109" t="s">
        <v>105</v>
      </c>
      <c r="AA31" s="8"/>
      <c r="AB31" s="8"/>
      <c r="AC31" s="8"/>
      <c r="AD31" s="8"/>
      <c r="AE31" s="206">
        <f>W6</f>
        <v>45644</v>
      </c>
      <c r="AF31" s="216">
        <f>AC6</f>
        <v>881519360</v>
      </c>
      <c r="AG31" s="207">
        <f>XIRR(AF30:AF31, AE30:AE31)</f>
        <v>0.4984068155</v>
      </c>
      <c r="AN31" s="8"/>
      <c r="AO31" s="8"/>
      <c r="AP31" s="8"/>
      <c r="AQ31" s="29"/>
      <c r="AR31" s="29"/>
      <c r="AS31" s="29"/>
    </row>
    <row r="32" ht="16.5" customHeight="1">
      <c r="A32" s="8"/>
      <c r="B32" s="105">
        <v>45065.0</v>
      </c>
      <c r="C32" s="106"/>
      <c r="D32" s="106">
        <v>-5000000.0</v>
      </c>
      <c r="E32" s="109" t="s">
        <v>104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"/>
      <c r="Q32" s="8"/>
      <c r="R32" s="8"/>
      <c r="S32" s="8"/>
      <c r="T32" s="8"/>
      <c r="U32" s="8"/>
      <c r="V32" s="8"/>
      <c r="W32" s="105">
        <v>45065.0</v>
      </c>
      <c r="X32" s="106"/>
      <c r="Y32" s="106">
        <v>-5000000.0</v>
      </c>
      <c r="Z32" s="109" t="s">
        <v>104</v>
      </c>
      <c r="AA32" s="8"/>
      <c r="AB32" s="8"/>
      <c r="AC32" s="8"/>
      <c r="AD32" s="8"/>
      <c r="AE32" s="212"/>
      <c r="AF32" s="212"/>
      <c r="AG32" s="207">
        <f>XIRR(AF28:AF31, AE28:AE31)</f>
        <v>0.7421457368</v>
      </c>
      <c r="AH32" s="198" t="s">
        <v>137</v>
      </c>
      <c r="AI32" s="198" t="s">
        <v>138</v>
      </c>
      <c r="AJ32" s="195"/>
      <c r="AK32" s="8"/>
      <c r="AL32" s="8"/>
      <c r="AM32" s="8"/>
      <c r="AN32" s="8"/>
      <c r="AO32" s="8"/>
      <c r="AP32" s="8"/>
      <c r="AQ32" s="29"/>
      <c r="AR32" s="29"/>
      <c r="AS32" s="29"/>
    </row>
    <row r="33" ht="16.5" customHeight="1">
      <c r="A33" s="8"/>
      <c r="B33" s="105">
        <v>45299.0</v>
      </c>
      <c r="C33" s="106"/>
      <c r="D33" s="106">
        <v>-3.1E8</v>
      </c>
      <c r="E33" s="109" t="s">
        <v>105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8"/>
      <c r="Q33" s="8"/>
      <c r="R33" s="8"/>
      <c r="S33" s="8"/>
      <c r="T33" s="8"/>
      <c r="U33" s="8"/>
      <c r="V33" s="8"/>
      <c r="W33" s="105">
        <v>45299.0</v>
      </c>
      <c r="X33" s="106"/>
      <c r="Y33" s="106">
        <v>-3.1E8</v>
      </c>
      <c r="Z33" s="109" t="s">
        <v>105</v>
      </c>
      <c r="AA33" s="8"/>
      <c r="AB33" s="8"/>
      <c r="AC33" s="8"/>
      <c r="AD33" s="8"/>
      <c r="AE33" s="198" t="s">
        <v>139</v>
      </c>
      <c r="AF33" s="212"/>
      <c r="AG33" s="212"/>
      <c r="AH33" s="204">
        <f>K10</f>
        <v>44886</v>
      </c>
      <c r="AI33" s="202">
        <v>-1.0E8</v>
      </c>
      <c r="AJ33" s="217"/>
      <c r="AK33" s="8"/>
      <c r="AL33" s="8"/>
      <c r="AM33" s="8"/>
      <c r="AN33" s="8"/>
      <c r="AO33" s="8"/>
      <c r="AP33" s="8"/>
      <c r="AQ33" s="29"/>
      <c r="AR33" s="29"/>
      <c r="AS33" s="29"/>
    </row>
    <row r="34" ht="16.5" customHeight="1">
      <c r="A34" s="8"/>
      <c r="B34" s="121">
        <v>45930.0</v>
      </c>
      <c r="C34" s="111"/>
      <c r="D34" s="111">
        <f>AC21</f>
        <v>4367508422</v>
      </c>
      <c r="E34" s="11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8"/>
      <c r="Q34" s="8"/>
      <c r="R34" s="8"/>
      <c r="S34" s="8"/>
      <c r="T34" s="8"/>
      <c r="U34" s="8"/>
      <c r="V34" s="8"/>
      <c r="W34" s="121">
        <v>46021.0</v>
      </c>
      <c r="X34" s="111"/>
      <c r="Y34" s="111">
        <f>AG21</f>
        <v>258320002</v>
      </c>
      <c r="Z34" s="112"/>
      <c r="AA34" s="8"/>
      <c r="AB34" s="8"/>
      <c r="AC34" s="8"/>
      <c r="AD34" s="8"/>
      <c r="AE34" s="204">
        <f>K7</f>
        <v>44491</v>
      </c>
      <c r="AF34" s="218">
        <f>-S7</f>
        <v>-99989070</v>
      </c>
      <c r="AG34" s="212"/>
      <c r="AH34" s="209">
        <f>W10</f>
        <v>46021</v>
      </c>
      <c r="AI34" s="219">
        <f>AC10</f>
        <v>130458657</v>
      </c>
      <c r="AJ34" s="207">
        <f>XIRR(AI33:AI34, AH33:AH34)</f>
        <v>0.08926727915</v>
      </c>
      <c r="AK34" s="8"/>
      <c r="AL34" s="8"/>
      <c r="AM34" s="8"/>
      <c r="AN34" s="8"/>
      <c r="AO34" s="8"/>
      <c r="AP34" s="8"/>
      <c r="AQ34" s="29"/>
      <c r="AR34" s="29"/>
      <c r="AS34" s="29"/>
    </row>
    <row r="35" ht="16.5" customHeight="1">
      <c r="A35" s="8"/>
      <c r="B35" s="113" t="s">
        <v>106</v>
      </c>
      <c r="C35" s="114"/>
      <c r="D35" s="114">
        <f>XIRR(D25:D34,B25:B34)</f>
        <v>0.1866462519</v>
      </c>
      <c r="E35" s="11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121">
        <v>46295.0</v>
      </c>
      <c r="X35" s="111"/>
      <c r="Y35" s="111">
        <f>AJ21</f>
        <v>3290872042</v>
      </c>
      <c r="Z35" s="112"/>
      <c r="AA35" s="8"/>
      <c r="AB35" s="8"/>
      <c r="AC35" s="8"/>
      <c r="AD35" s="8"/>
      <c r="AE35" s="206" t="str">
        <f>W7</f>
        <v> 2025-01-15</v>
      </c>
      <c r="AF35" s="220">
        <f>AC7</f>
        <v>707115000</v>
      </c>
      <c r="AG35" s="207">
        <f>XIRR(AF34:AF35, AE34:AE35)</f>
        <v>0.8304512502</v>
      </c>
      <c r="AH35" s="209">
        <v>46112.0</v>
      </c>
      <c r="AI35" s="221">
        <f>AJ10</f>
        <v>104366925.6</v>
      </c>
      <c r="AJ35" s="207">
        <f>XIRR(AI33:AI35, AH33:AH35)</f>
        <v>0.3037574323</v>
      </c>
      <c r="AK35" s="8"/>
      <c r="AL35" s="8"/>
      <c r="AM35" s="8"/>
      <c r="AN35" s="8"/>
      <c r="AO35" s="8"/>
      <c r="AP35" s="8"/>
      <c r="AQ35" s="29"/>
      <c r="AR35" s="29"/>
      <c r="AS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121">
        <v>46295.0</v>
      </c>
      <c r="X36" s="111"/>
      <c r="Y36" s="111">
        <f>AM21</f>
        <v>464759819</v>
      </c>
      <c r="Z36" s="112"/>
      <c r="AA36" s="8"/>
      <c r="AB36" s="8"/>
      <c r="AC36" s="8"/>
      <c r="AD36" s="8"/>
      <c r="AE36" s="198" t="s">
        <v>140</v>
      </c>
      <c r="AF36" s="217"/>
      <c r="AG36" s="217"/>
      <c r="AH36" s="204">
        <f>K11</f>
        <v>44944</v>
      </c>
      <c r="AI36" s="202">
        <v>-2.0E8</v>
      </c>
      <c r="AJ36" s="217"/>
      <c r="AK36" s="8"/>
      <c r="AL36" s="8"/>
      <c r="AM36" s="8"/>
      <c r="AN36" s="8"/>
      <c r="AO36" s="8"/>
      <c r="AP36" s="8"/>
      <c r="AQ36" s="29"/>
      <c r="AR36" s="29"/>
      <c r="AS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222" t="s">
        <v>141</v>
      </c>
      <c r="X37" s="114"/>
      <c r="Y37" s="114">
        <f>IRR(Y25:Y36)</f>
        <v>0.07103402732</v>
      </c>
      <c r="Z37" s="115"/>
      <c r="AA37" s="8"/>
      <c r="AB37" s="8"/>
      <c r="AC37" s="8"/>
      <c r="AD37" s="8"/>
      <c r="AE37" s="204">
        <f>K14</f>
        <v>44683</v>
      </c>
      <c r="AF37" s="223">
        <f>-S14</f>
        <v>-100035000</v>
      </c>
      <c r="AG37" s="217"/>
      <c r="AH37" s="209">
        <f>W11</f>
        <v>46021</v>
      </c>
      <c r="AI37" s="219">
        <f>AC11</f>
        <v>260917314</v>
      </c>
      <c r="AJ37" s="207">
        <f>XIRR(AI36:AI37, AH36:AH37)</f>
        <v>0.09429463719</v>
      </c>
      <c r="AK37" s="8"/>
      <c r="AL37" s="8"/>
      <c r="AM37" s="8"/>
      <c r="AN37" s="8"/>
      <c r="AO37" s="8"/>
      <c r="AP37" s="8"/>
      <c r="AQ37" s="29"/>
      <c r="AR37" s="29"/>
      <c r="AS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206">
        <f>W14</f>
        <v>44684</v>
      </c>
      <c r="AF38" s="220">
        <f>AC14</f>
        <v>100035000</v>
      </c>
      <c r="AG38" s="207">
        <f>XIRR(AF37:AF38, AE37:AE38)</f>
        <v>0</v>
      </c>
      <c r="AH38" s="209">
        <v>46112.0</v>
      </c>
      <c r="AI38" s="221">
        <f>AJ11</f>
        <v>208733851.2</v>
      </c>
      <c r="AJ38" s="207">
        <f>XIRR(AI36:AI38, AH36:AH38)</f>
        <v>0.3218559288</v>
      </c>
      <c r="AK38" s="8"/>
      <c r="AL38" s="8"/>
      <c r="AM38" s="8"/>
      <c r="AN38" s="8"/>
      <c r="AO38" s="8"/>
      <c r="AP38" s="8"/>
      <c r="AQ38" s="29"/>
      <c r="AR38" s="29"/>
      <c r="AS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224" t="s">
        <v>142</v>
      </c>
      <c r="AF39" s="212"/>
      <c r="AG39" s="212"/>
      <c r="AJ39" s="207">
        <f>XIRR(AI33:AI37, AH33:AH37)</f>
        <v>0.1786501847</v>
      </c>
      <c r="AK39" s="8"/>
      <c r="AL39" s="8"/>
      <c r="AM39" s="8"/>
      <c r="AN39" s="8"/>
      <c r="AO39" s="8"/>
      <c r="AP39" s="8"/>
      <c r="AQ39" s="29"/>
      <c r="AR39" s="29"/>
      <c r="AS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225">
        <f>K15</f>
        <v>44694</v>
      </c>
      <c r="AF40" s="226">
        <f>-S15</f>
        <v>-100000000</v>
      </c>
      <c r="AG40" s="212"/>
      <c r="AK40" s="8"/>
      <c r="AL40" s="8"/>
      <c r="AM40" s="8"/>
      <c r="AN40" s="8"/>
      <c r="AO40" s="8"/>
      <c r="AP40" s="8"/>
      <c r="AQ40" s="29"/>
      <c r="AR40" s="29"/>
      <c r="AS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227">
        <v>46022.0</v>
      </c>
      <c r="AF41" s="223">
        <f>AG15</f>
        <v>158870002</v>
      </c>
      <c r="AG41" s="207">
        <f>XIRR(AF40:AF41, AE40:AE41)</f>
        <v>0.1356807001</v>
      </c>
      <c r="AH41" s="228" t="s">
        <v>143</v>
      </c>
      <c r="AI41" s="228"/>
      <c r="AJ41" s="228"/>
      <c r="AK41" s="228" t="s">
        <v>144</v>
      </c>
      <c r="AL41" s="228"/>
      <c r="AM41" s="228"/>
      <c r="AN41" s="8"/>
      <c r="AO41" s="8"/>
      <c r="AP41" s="8"/>
      <c r="AQ41" s="29"/>
      <c r="AR41" s="29"/>
      <c r="AS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98" t="s">
        <v>145</v>
      </c>
      <c r="AF42" s="212"/>
      <c r="AG42" s="217"/>
      <c r="AH42" s="224" t="s">
        <v>146</v>
      </c>
      <c r="AI42" s="212"/>
      <c r="AJ42" s="212"/>
      <c r="AK42" s="198" t="s">
        <v>147</v>
      </c>
      <c r="AL42" s="217"/>
      <c r="AM42" s="217"/>
      <c r="AN42" s="8"/>
      <c r="AO42" s="8"/>
      <c r="AP42" s="8"/>
      <c r="AQ42" s="29"/>
      <c r="AR42" s="29"/>
      <c r="AS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204">
        <v>45127.0</v>
      </c>
      <c r="AF43" s="218">
        <v>-2.0003236E8</v>
      </c>
      <c r="AG43" s="217"/>
      <c r="AH43" s="225">
        <f>K12</f>
        <v>44715</v>
      </c>
      <c r="AI43" s="229">
        <f>-S12</f>
        <v>-99985543</v>
      </c>
      <c r="AJ43" s="212"/>
      <c r="AK43" s="230">
        <f>K16</f>
        <v>45107</v>
      </c>
      <c r="AL43" s="231">
        <f>-S16</f>
        <v>-300547520</v>
      </c>
      <c r="AM43" s="217"/>
      <c r="AN43" s="8"/>
      <c r="AO43" s="8"/>
      <c r="AP43" s="8"/>
      <c r="AQ43" s="29"/>
      <c r="AR43" s="29"/>
      <c r="AS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206">
        <v>45777.0</v>
      </c>
      <c r="AF44" s="220">
        <v>2.54790547E8</v>
      </c>
      <c r="AG44" s="207">
        <f>XIRR(AF43:AF44, AE43:AE44)</f>
        <v>0.1455345058</v>
      </c>
      <c r="AH44" s="209">
        <v>46142.0</v>
      </c>
      <c r="AI44" s="232">
        <v>4166090.0</v>
      </c>
      <c r="AK44" s="209">
        <v>46142.0</v>
      </c>
      <c r="AL44" s="232">
        <v>7495495.0</v>
      </c>
      <c r="AN44" s="8"/>
      <c r="AO44" s="8"/>
      <c r="AP44" s="8"/>
      <c r="AQ44" s="29"/>
      <c r="AR44" s="29"/>
      <c r="AS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201">
        <v>45265.0</v>
      </c>
      <c r="AF45" s="218">
        <v>-1.0003852E8</v>
      </c>
      <c r="AG45" s="217"/>
      <c r="AH45" s="209">
        <v>46203.0</v>
      </c>
      <c r="AI45" s="232">
        <v>4166090.0</v>
      </c>
      <c r="AK45" s="209">
        <v>46172.0</v>
      </c>
      <c r="AL45" s="232">
        <v>7495495.0</v>
      </c>
      <c r="AN45" s="8"/>
      <c r="AO45" s="8"/>
      <c r="AP45" s="8"/>
      <c r="AQ45" s="29"/>
      <c r="AR45" s="29"/>
      <c r="AS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206">
        <v>45777.0</v>
      </c>
      <c r="AF46" s="220">
        <v>1.27423729E8</v>
      </c>
      <c r="AG46" s="207">
        <f>XIRR(AF45:AF46, AE45:AE46)</f>
        <v>0.1882634064</v>
      </c>
      <c r="AH46" s="209">
        <v>46264.0</v>
      </c>
      <c r="AI46" s="232">
        <v>4166090.0</v>
      </c>
      <c r="AK46" s="209">
        <v>46203.0</v>
      </c>
      <c r="AL46" s="232">
        <v>7495495.0</v>
      </c>
      <c r="AN46" s="8"/>
      <c r="AO46" s="8"/>
      <c r="AP46" s="8"/>
      <c r="AQ46" s="29"/>
      <c r="AR46" s="29"/>
      <c r="AS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212"/>
      <c r="AF47" s="212"/>
      <c r="AG47" s="207">
        <f>XIRR(AF43:AF46, AE43:AE46)</f>
        <v>0.1572163622</v>
      </c>
      <c r="AH47" s="209">
        <v>46295.0</v>
      </c>
      <c r="AI47" s="233">
        <v>1.05914655E8</v>
      </c>
      <c r="AJ47" s="207">
        <f>XIRR(AI43:AI47, AH43:AH47)</f>
        <v>0.04010263467</v>
      </c>
      <c r="AK47" s="209">
        <v>46233.0</v>
      </c>
      <c r="AL47" s="232">
        <v>7495495.0</v>
      </c>
      <c r="AN47" s="8"/>
      <c r="AO47" s="8"/>
      <c r="AP47" s="8"/>
      <c r="AQ47" s="29"/>
      <c r="AR47" s="29"/>
      <c r="AS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H48" s="225">
        <f>K13</f>
        <v>44936</v>
      </c>
      <c r="AI48" s="229">
        <f>-S13</f>
        <v>-100034528</v>
      </c>
      <c r="AJ48" s="212"/>
      <c r="AK48" s="209">
        <v>46264.0</v>
      </c>
      <c r="AL48" s="232">
        <v>7495495.0</v>
      </c>
      <c r="AN48" s="8"/>
      <c r="AO48" s="8"/>
      <c r="AP48" s="8"/>
      <c r="AQ48" s="29"/>
      <c r="AR48" s="29"/>
      <c r="AS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H49" s="209">
        <v>46142.0</v>
      </c>
      <c r="AI49" s="232">
        <v>3334484.0</v>
      </c>
      <c r="AK49" s="209">
        <v>46295.0</v>
      </c>
      <c r="AL49" s="232">
        <v>7495495.0</v>
      </c>
      <c r="AN49" s="8"/>
      <c r="AO49" s="8"/>
      <c r="AP49" s="8"/>
      <c r="AQ49" s="29"/>
      <c r="AR49" s="29"/>
      <c r="AS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H50" s="209">
        <v>46203.0</v>
      </c>
      <c r="AI50" s="232">
        <v>3334484.0</v>
      </c>
      <c r="AK50" s="209">
        <v>46295.0</v>
      </c>
      <c r="AL50" s="232">
        <v>7495495.0</v>
      </c>
      <c r="AN50" s="8"/>
      <c r="AO50" s="8"/>
      <c r="AP50" s="8"/>
      <c r="AQ50" s="29"/>
      <c r="AR50" s="29"/>
      <c r="AS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H51" s="209">
        <v>46264.0</v>
      </c>
      <c r="AI51" s="232">
        <v>3334484.0</v>
      </c>
      <c r="AK51" s="209">
        <v>46295.0</v>
      </c>
      <c r="AL51" s="232">
        <v>1.360944E8</v>
      </c>
      <c r="AM51" s="207">
        <f>XIRR(AL43:AL51, AK43:AK51)</f>
        <v>-0.1353484794</v>
      </c>
      <c r="AN51" s="8"/>
      <c r="AO51" s="8"/>
      <c r="AP51" s="8"/>
      <c r="AQ51" s="29"/>
      <c r="AR51" s="29"/>
      <c r="AS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H52" s="209">
        <v>46295.0</v>
      </c>
      <c r="AI52" s="233">
        <v>8.4775192E7</v>
      </c>
      <c r="AJ52" s="207">
        <f>XIRR(AI48:AI52, AH48:AH52)</f>
        <v>-0.01449363197</v>
      </c>
      <c r="AK52" s="230">
        <f>K17</f>
        <v>45254</v>
      </c>
      <c r="AL52" s="231">
        <f>-S17</f>
        <v>-100423330</v>
      </c>
      <c r="AN52" s="8"/>
      <c r="AO52" s="8"/>
      <c r="AP52" s="8"/>
      <c r="AQ52" s="29"/>
      <c r="AR52" s="29"/>
      <c r="AS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J53" s="207">
        <f>XIRR(AI43:AI52, AH43:AH52)</f>
        <v>0.01607106348</v>
      </c>
      <c r="AK53" s="209">
        <v>46142.0</v>
      </c>
      <c r="AL53" s="232">
        <v>2504505.0</v>
      </c>
      <c r="AN53" s="8"/>
      <c r="AO53" s="8"/>
      <c r="AP53" s="8"/>
      <c r="AQ53" s="29"/>
      <c r="AR53" s="29"/>
      <c r="AS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H54" s="228" t="s">
        <v>148</v>
      </c>
      <c r="AK54" s="209">
        <v>46172.0</v>
      </c>
      <c r="AL54" s="232">
        <v>2504505.0</v>
      </c>
      <c r="AN54" s="8"/>
      <c r="AO54" s="8"/>
      <c r="AP54" s="8"/>
      <c r="AQ54" s="29"/>
      <c r="AR54" s="29"/>
      <c r="AS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H55" s="224" t="s">
        <v>146</v>
      </c>
      <c r="AI55" s="212"/>
      <c r="AK55" s="209">
        <v>46203.0</v>
      </c>
      <c r="AL55" s="232">
        <v>2504505.0</v>
      </c>
      <c r="AN55" s="8"/>
      <c r="AO55" s="8"/>
      <c r="AP55" s="8"/>
      <c r="AQ55" s="29"/>
      <c r="AR55" s="29"/>
      <c r="AS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H56" s="225">
        <f t="shared" ref="AH56:AI56" si="37">AH43</f>
        <v>44715</v>
      </c>
      <c r="AI56" s="229">
        <f t="shared" si="37"/>
        <v>-99985543</v>
      </c>
      <c r="AK56" s="209">
        <v>46233.0</v>
      </c>
      <c r="AL56" s="232">
        <v>2504505.0</v>
      </c>
      <c r="AN56" s="8"/>
      <c r="AO56" s="8"/>
      <c r="AP56" s="8"/>
      <c r="AQ56" s="29"/>
      <c r="AR56" s="29"/>
      <c r="AS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H57" s="209">
        <v>46295.0</v>
      </c>
      <c r="AI57" s="233">
        <v>1.169077E8</v>
      </c>
      <c r="AJ57" s="207">
        <f>XIRR(AI56:AI57, AH56:AH57)</f>
        <v>0.03678122519</v>
      </c>
      <c r="AK57" s="209">
        <v>46264.0</v>
      </c>
      <c r="AL57" s="232">
        <v>2504505.0</v>
      </c>
      <c r="AN57" s="8"/>
      <c r="AO57" s="8"/>
      <c r="AP57" s="8"/>
      <c r="AQ57" s="29"/>
      <c r="AR57" s="29"/>
      <c r="AS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H58" s="225">
        <f t="shared" ref="AH58:AI58" si="38">AH48</f>
        <v>44936</v>
      </c>
      <c r="AI58" s="229">
        <f t="shared" si="38"/>
        <v>-100034528</v>
      </c>
      <c r="AJ58" s="212"/>
      <c r="AK58" s="209">
        <v>46295.0</v>
      </c>
      <c r="AL58" s="232">
        <v>2504505.0</v>
      </c>
      <c r="AM58" s="8"/>
      <c r="AN58" s="8"/>
      <c r="AO58" s="8"/>
      <c r="AP58" s="8"/>
      <c r="AQ58" s="29"/>
      <c r="AR58" s="29"/>
      <c r="AS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H59" s="209">
        <v>46295.0</v>
      </c>
      <c r="AI59" s="233">
        <v>9.3573882E7</v>
      </c>
      <c r="AJ59" s="207">
        <f>XIRR(AI58:AI59, AH58:AH59)</f>
        <v>-0.01777167872</v>
      </c>
      <c r="AK59" s="209">
        <v>46295.0</v>
      </c>
      <c r="AL59" s="232">
        <v>2504505.0</v>
      </c>
      <c r="AN59" s="8"/>
      <c r="AO59" s="8"/>
      <c r="AP59" s="8"/>
      <c r="AQ59" s="29"/>
      <c r="AR59" s="29"/>
      <c r="AS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212"/>
      <c r="AI60" s="212"/>
      <c r="AJ60" s="207">
        <f>XIRR(AI56:AI59, AH56:AH59)</f>
        <v>0.0127416146</v>
      </c>
      <c r="AK60" s="209">
        <v>46295.0</v>
      </c>
      <c r="AL60" s="232">
        <v>4.547385E7</v>
      </c>
      <c r="AM60" s="207">
        <f>XIRR(AL52:AL60, AK52:AK60)</f>
        <v>-0.1532230613</v>
      </c>
      <c r="AN60" s="8"/>
      <c r="AO60" s="8"/>
      <c r="AP60" s="8"/>
      <c r="AQ60" s="29"/>
      <c r="AR60" s="29"/>
      <c r="AS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228" t="s">
        <v>149</v>
      </c>
      <c r="AK61" s="8"/>
      <c r="AL61" s="8"/>
      <c r="AM61" s="207">
        <f>XIRR(AL43:AL60, AK43:AK60)</f>
        <v>-0.1395191096</v>
      </c>
      <c r="AN61" s="8"/>
      <c r="AO61" s="8"/>
      <c r="AP61" s="8"/>
      <c r="AQ61" s="29"/>
      <c r="AR61" s="29"/>
      <c r="AS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224" t="s">
        <v>146</v>
      </c>
      <c r="AI62" s="212"/>
      <c r="AJ62" s="212"/>
      <c r="AK62" s="228" t="s">
        <v>150</v>
      </c>
      <c r="AL62" s="228"/>
      <c r="AM62" s="228"/>
      <c r="AN62" s="8"/>
      <c r="AO62" s="8"/>
      <c r="AP62" s="8"/>
      <c r="AQ62" s="29"/>
      <c r="AR62" s="29"/>
      <c r="AS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225">
        <f t="shared" ref="AH63:AI63" si="39">AH56</f>
        <v>44715</v>
      </c>
      <c r="AI63" s="229">
        <f t="shared" si="39"/>
        <v>-99985543</v>
      </c>
      <c r="AJ63" s="212"/>
      <c r="AK63" s="198" t="s">
        <v>147</v>
      </c>
      <c r="AL63" s="217"/>
      <c r="AM63" s="217"/>
      <c r="AN63" s="8"/>
      <c r="AO63" s="8"/>
      <c r="AP63" s="8"/>
      <c r="AQ63" s="29"/>
      <c r="AR63" s="29"/>
      <c r="AS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209">
        <v>46142.0</v>
      </c>
      <c r="AI64" s="232">
        <v>4166090.0</v>
      </c>
      <c r="AK64" s="230">
        <f t="shared" ref="AK64:AL64" si="40">AK43</f>
        <v>45107</v>
      </c>
      <c r="AL64" s="231">
        <f t="shared" si="40"/>
        <v>-300547520</v>
      </c>
      <c r="AM64" s="217"/>
      <c r="AN64" s="8"/>
      <c r="AO64" s="8"/>
      <c r="AP64" s="8"/>
      <c r="AQ64" s="29"/>
      <c r="AR64" s="29"/>
      <c r="AS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209">
        <v>46203.0</v>
      </c>
      <c r="AI65" s="232">
        <v>4166090.0</v>
      </c>
      <c r="AK65" s="209">
        <v>46142.0</v>
      </c>
      <c r="AL65" s="232">
        <v>7495495.0</v>
      </c>
      <c r="AN65" s="8"/>
      <c r="AO65" s="8"/>
      <c r="AP65" s="8"/>
      <c r="AQ65" s="29"/>
      <c r="AR65" s="29"/>
      <c r="AS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209">
        <v>46264.0</v>
      </c>
      <c r="AI66" s="232">
        <v>4166090.0</v>
      </c>
      <c r="AJ66" s="207">
        <f>XIRR(AI63:AI66, AH63:AH66)</f>
        <v>-0.3991945554</v>
      </c>
      <c r="AK66" s="209">
        <v>46172.0</v>
      </c>
      <c r="AL66" s="232">
        <v>7495495.0</v>
      </c>
      <c r="AN66" s="8"/>
      <c r="AO66" s="8"/>
      <c r="AP66" s="8"/>
      <c r="AQ66" s="29"/>
      <c r="AR66" s="29"/>
      <c r="AS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225">
        <f t="shared" ref="AH67:AI67" si="41">AH58</f>
        <v>44936</v>
      </c>
      <c r="AI67" s="229">
        <f t="shared" si="41"/>
        <v>-100034528</v>
      </c>
      <c r="AK67" s="209">
        <v>46203.0</v>
      </c>
      <c r="AL67" s="232">
        <v>7495495.0</v>
      </c>
      <c r="AN67" s="8"/>
      <c r="AO67" s="8"/>
      <c r="AP67" s="8"/>
      <c r="AQ67" s="29"/>
      <c r="AR67" s="29"/>
      <c r="AS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209">
        <v>46142.0</v>
      </c>
      <c r="AI68" s="232">
        <v>3334484.0</v>
      </c>
      <c r="AK68" s="209">
        <v>46233.0</v>
      </c>
      <c r="AL68" s="232">
        <v>7495495.0</v>
      </c>
      <c r="AN68" s="8"/>
      <c r="AO68" s="8"/>
      <c r="AP68" s="8"/>
      <c r="AQ68" s="29"/>
      <c r="AR68" s="29"/>
      <c r="AS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209">
        <v>46203.0</v>
      </c>
      <c r="AI69" s="232">
        <v>3334484.0</v>
      </c>
      <c r="AK69" s="209">
        <v>46264.0</v>
      </c>
      <c r="AL69" s="232">
        <v>7495495.0</v>
      </c>
      <c r="AN69" s="8"/>
      <c r="AO69" s="8"/>
      <c r="AP69" s="8"/>
      <c r="AQ69" s="29"/>
      <c r="AR69" s="29"/>
      <c r="AS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209">
        <v>46264.0</v>
      </c>
      <c r="AI70" s="232">
        <v>3334484.0</v>
      </c>
      <c r="AJ70" s="207">
        <f>XIRR(AI67:AI70, AH67:AH70)</f>
        <v>-0.4842632255</v>
      </c>
      <c r="AK70" s="209">
        <v>46295.0</v>
      </c>
      <c r="AL70" s="232">
        <v>7495495.0</v>
      </c>
      <c r="AN70" s="8"/>
      <c r="AO70" s="8"/>
      <c r="AP70" s="8"/>
      <c r="AQ70" s="29"/>
      <c r="AR70" s="29"/>
      <c r="AS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212"/>
      <c r="AI71" s="212"/>
      <c r="AJ71" s="207">
        <f>XIRR(AI63:AI71, AH63:AH71)</f>
        <v>-0.4413263204</v>
      </c>
      <c r="AK71" s="209">
        <v>46295.0</v>
      </c>
      <c r="AL71" s="232">
        <v>7495495.0</v>
      </c>
      <c r="AN71" s="8"/>
      <c r="AO71" s="8"/>
      <c r="AP71" s="8"/>
      <c r="AQ71" s="29"/>
      <c r="AR71" s="29"/>
      <c r="AS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212"/>
      <c r="AI72" s="212"/>
      <c r="AK72" s="209">
        <v>46295.0</v>
      </c>
      <c r="AL72" s="232">
        <v>1.7692272E8</v>
      </c>
      <c r="AM72" s="207">
        <f>XIRR(AL64:AL72, AK64:AK72)</f>
        <v>-0.08062665957</v>
      </c>
      <c r="AN72" s="8"/>
      <c r="AO72" s="8"/>
      <c r="AP72" s="8"/>
      <c r="AQ72" s="29"/>
      <c r="AR72" s="29"/>
      <c r="AS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K73" s="230">
        <f t="shared" ref="AK73:AL73" si="42">AK52</f>
        <v>45254</v>
      </c>
      <c r="AL73" s="231">
        <f t="shared" si="42"/>
        <v>-100423330</v>
      </c>
      <c r="AN73" s="8"/>
      <c r="AO73" s="8"/>
      <c r="AP73" s="8"/>
      <c r="AQ73" s="29"/>
      <c r="AR73" s="29"/>
      <c r="AS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209">
        <v>46142.0</v>
      </c>
      <c r="AL74" s="232">
        <v>2504505.0</v>
      </c>
      <c r="AN74" s="8"/>
      <c r="AO74" s="8"/>
      <c r="AP74" s="8"/>
      <c r="AQ74" s="29"/>
      <c r="AR74" s="29"/>
      <c r="AS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209">
        <v>46172.0</v>
      </c>
      <c r="AL75" s="232">
        <v>2504505.0</v>
      </c>
      <c r="AN75" s="8"/>
      <c r="AO75" s="8"/>
      <c r="AP75" s="8"/>
      <c r="AQ75" s="29"/>
      <c r="AR75" s="29"/>
      <c r="AS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209">
        <v>46203.0</v>
      </c>
      <c r="AL76" s="232">
        <v>2504505.0</v>
      </c>
      <c r="AN76" s="8"/>
      <c r="AO76" s="8"/>
      <c r="AP76" s="8"/>
      <c r="AQ76" s="29"/>
      <c r="AR76" s="29"/>
      <c r="AS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209">
        <v>46233.0</v>
      </c>
      <c r="AL77" s="232">
        <v>2504505.0</v>
      </c>
      <c r="AN77" s="8"/>
      <c r="AO77" s="8"/>
      <c r="AP77" s="8"/>
      <c r="AQ77" s="29"/>
      <c r="AR77" s="29"/>
      <c r="AS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209">
        <v>46264.0</v>
      </c>
      <c r="AL78" s="232">
        <v>2504505.0</v>
      </c>
      <c r="AN78" s="8"/>
      <c r="AO78" s="8"/>
      <c r="AP78" s="8"/>
      <c r="AQ78" s="29"/>
      <c r="AR78" s="29"/>
      <c r="AS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209">
        <v>46295.0</v>
      </c>
      <c r="AL79" s="232">
        <v>2504505.0</v>
      </c>
      <c r="AM79" s="8"/>
      <c r="AN79" s="8"/>
      <c r="AO79" s="8"/>
      <c r="AP79" s="8"/>
      <c r="AQ79" s="29"/>
      <c r="AR79" s="29"/>
      <c r="AS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209">
        <v>46295.0</v>
      </c>
      <c r="AL80" s="232">
        <v>2504505.0</v>
      </c>
      <c r="AN80" s="8"/>
      <c r="AO80" s="8"/>
      <c r="AP80" s="8"/>
      <c r="AQ80" s="29"/>
      <c r="AR80" s="29"/>
      <c r="AS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209">
        <v>46295.0</v>
      </c>
      <c r="AL81" s="232">
        <v>5.9116005E7</v>
      </c>
      <c r="AM81" s="207">
        <f>XIRR(AL73:AL81, AK73:AK81)</f>
        <v>-0.09163012679</v>
      </c>
      <c r="AN81" s="8"/>
      <c r="AO81" s="8"/>
      <c r="AP81" s="8"/>
      <c r="AQ81" s="29"/>
      <c r="AR81" s="29"/>
      <c r="AS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207">
        <f>XIRR(AL64:AL81, AK64:AK81)</f>
        <v>-0.08316093816</v>
      </c>
      <c r="AN82" s="8"/>
      <c r="AO82" s="8"/>
      <c r="AP82" s="8"/>
      <c r="AQ82" s="29"/>
      <c r="AR82" s="29"/>
      <c r="AS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228" t="s">
        <v>151</v>
      </c>
      <c r="AL83" s="228"/>
      <c r="AM83" s="228"/>
      <c r="AN83" s="8"/>
      <c r="AO83" s="8"/>
      <c r="AP83" s="8"/>
      <c r="AQ83" s="29"/>
      <c r="AR83" s="29"/>
      <c r="AS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98" t="s">
        <v>147</v>
      </c>
      <c r="AL84" s="217"/>
      <c r="AM84" s="217"/>
      <c r="AN84" s="8"/>
      <c r="AO84" s="8"/>
      <c r="AP84" s="8"/>
      <c r="AQ84" s="29"/>
      <c r="AR84" s="29"/>
      <c r="AS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230">
        <f t="shared" ref="AK85:AL85" si="43">AK64</f>
        <v>45107</v>
      </c>
      <c r="AL85" s="231">
        <f t="shared" si="43"/>
        <v>-300547520</v>
      </c>
      <c r="AM85" s="217"/>
      <c r="AN85" s="8"/>
      <c r="AO85" s="8"/>
      <c r="AP85" s="8"/>
      <c r="AQ85" s="29"/>
      <c r="AR85" s="29"/>
      <c r="AS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209">
        <v>46142.0</v>
      </c>
      <c r="AL86" s="232">
        <v>5009125.0</v>
      </c>
      <c r="AN86" s="8"/>
      <c r="AO86" s="8"/>
      <c r="AP86" s="8"/>
      <c r="AQ86" s="29"/>
      <c r="AR86" s="29"/>
      <c r="AS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209">
        <v>46172.0</v>
      </c>
      <c r="AL87" s="232">
        <v>5009125.0</v>
      </c>
      <c r="AN87" s="8"/>
      <c r="AO87" s="8"/>
      <c r="AP87" s="8"/>
      <c r="AQ87" s="29"/>
      <c r="AR87" s="29"/>
      <c r="AS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209">
        <v>46203.0</v>
      </c>
      <c r="AL88" s="232">
        <v>5009125.0</v>
      </c>
      <c r="AN88" s="8"/>
      <c r="AO88" s="8"/>
      <c r="AP88" s="8"/>
      <c r="AQ88" s="29"/>
      <c r="AR88" s="29"/>
      <c r="AS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209">
        <v>46233.0</v>
      </c>
      <c r="AL89" s="232">
        <v>5009125.0</v>
      </c>
      <c r="AN89" s="8"/>
      <c r="AO89" s="8"/>
      <c r="AP89" s="8"/>
      <c r="AQ89" s="29"/>
      <c r="AR89" s="29"/>
      <c r="AS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209">
        <v>46264.0</v>
      </c>
      <c r="AL90" s="232">
        <v>5009125.0</v>
      </c>
      <c r="AN90" s="8"/>
      <c r="AO90" s="8"/>
      <c r="AP90" s="8"/>
      <c r="AQ90" s="29"/>
      <c r="AR90" s="29"/>
      <c r="AS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209">
        <v>46295.0</v>
      </c>
      <c r="AL91" s="232">
        <v>5009125.0</v>
      </c>
      <c r="AN91" s="8"/>
      <c r="AO91" s="8"/>
      <c r="AP91" s="8"/>
      <c r="AQ91" s="29"/>
      <c r="AR91" s="29"/>
      <c r="AS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209">
        <v>46295.0</v>
      </c>
      <c r="AL92" s="232">
        <v>5009125.0</v>
      </c>
      <c r="AM92" s="207">
        <f>XIRR(AL85:AL92, AK85:AK92)</f>
        <v>-0.5019332392</v>
      </c>
      <c r="AN92" s="8"/>
      <c r="AO92" s="8"/>
      <c r="AP92" s="8"/>
      <c r="AQ92" s="29"/>
      <c r="AR92" s="29"/>
      <c r="AS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230">
        <f t="shared" ref="AK93:AL93" si="44">AK73</f>
        <v>45254</v>
      </c>
      <c r="AL93" s="231">
        <f t="shared" si="44"/>
        <v>-100423330</v>
      </c>
      <c r="AN93" s="8"/>
      <c r="AO93" s="8"/>
      <c r="AP93" s="8"/>
      <c r="AQ93" s="29"/>
      <c r="AR93" s="29"/>
      <c r="AS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209">
        <v>46142.0</v>
      </c>
      <c r="AL94" s="232">
        <v>1673722.0</v>
      </c>
      <c r="AN94" s="8"/>
      <c r="AO94" s="8"/>
      <c r="AP94" s="8"/>
      <c r="AQ94" s="29"/>
      <c r="AR94" s="29"/>
      <c r="AS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209">
        <v>46172.0</v>
      </c>
      <c r="AL95" s="232">
        <v>1673722.0</v>
      </c>
      <c r="AN95" s="8"/>
      <c r="AO95" s="8"/>
      <c r="AP95" s="8"/>
      <c r="AQ95" s="29"/>
      <c r="AR95" s="29"/>
      <c r="AS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209">
        <v>46203.0</v>
      </c>
      <c r="AL96" s="232">
        <v>1673722.0</v>
      </c>
      <c r="AN96" s="8"/>
      <c r="AO96" s="8"/>
      <c r="AP96" s="8"/>
      <c r="AQ96" s="29"/>
      <c r="AR96" s="29"/>
      <c r="AS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209">
        <v>46233.0</v>
      </c>
      <c r="AL97" s="232">
        <v>1673722.0</v>
      </c>
      <c r="AN97" s="8"/>
      <c r="AO97" s="8"/>
      <c r="AP97" s="8"/>
      <c r="AQ97" s="29"/>
      <c r="AR97" s="29"/>
      <c r="AS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209">
        <v>46264.0</v>
      </c>
      <c r="AL98" s="232">
        <v>1673722.0</v>
      </c>
      <c r="AN98" s="8"/>
      <c r="AO98" s="8"/>
      <c r="AP98" s="8"/>
      <c r="AQ98" s="29"/>
      <c r="AR98" s="29"/>
      <c r="AS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209">
        <v>46295.0</v>
      </c>
      <c r="AL99" s="232">
        <v>1673722.0</v>
      </c>
      <c r="AN99" s="8"/>
      <c r="AO99" s="8"/>
      <c r="AP99" s="8"/>
      <c r="AQ99" s="29"/>
      <c r="AR99" s="29"/>
      <c r="AS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209">
        <v>46295.0</v>
      </c>
      <c r="AL100" s="232">
        <v>1673722.0</v>
      </c>
      <c r="AM100" s="207">
        <f>XIRR(AL93:AL100, AK93:AK100)</f>
        <v>-0.5513139237</v>
      </c>
      <c r="AN100" s="8"/>
      <c r="AO100" s="8"/>
      <c r="AP100" s="8"/>
      <c r="AQ100" s="29"/>
      <c r="AR100" s="29"/>
      <c r="AS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M101" s="207">
        <f>XIRR(AL85:AL100, AK85:AK100)</f>
        <v>-0.5148651758</v>
      </c>
      <c r="AN101" s="8"/>
      <c r="AO101" s="8"/>
      <c r="AP101" s="8"/>
      <c r="AQ101" s="29"/>
      <c r="AR101" s="29"/>
      <c r="AS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N102" s="8"/>
      <c r="AO102" s="8"/>
      <c r="AP102" s="8"/>
      <c r="AQ102" s="29"/>
      <c r="AR102" s="29"/>
      <c r="AS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N103" s="8"/>
      <c r="AO103" s="8"/>
      <c r="AP103" s="8"/>
      <c r="AQ103" s="29"/>
      <c r="AR103" s="29"/>
      <c r="AS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29"/>
      <c r="AR104" s="29"/>
      <c r="AS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29"/>
      <c r="AR105" s="29"/>
      <c r="AS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29"/>
      <c r="AR106" s="29"/>
      <c r="AS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29"/>
      <c r="AR107" s="29"/>
      <c r="AS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29"/>
      <c r="AR108" s="29"/>
      <c r="AS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29"/>
      <c r="AR109" s="29"/>
      <c r="AS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29"/>
      <c r="AR110" s="29"/>
      <c r="AS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29"/>
      <c r="AR111" s="29"/>
      <c r="AS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29"/>
      <c r="AR112" s="29"/>
      <c r="AS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29"/>
      <c r="AR113" s="29"/>
      <c r="AS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29"/>
      <c r="AR114" s="29"/>
      <c r="AS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29"/>
      <c r="AR115" s="29"/>
      <c r="AS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29"/>
      <c r="AR116" s="29"/>
      <c r="AS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29"/>
      <c r="AR117" s="29"/>
      <c r="AS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29"/>
      <c r="AR118" s="29"/>
      <c r="AS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29"/>
      <c r="AR119" s="29"/>
      <c r="AS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29"/>
      <c r="AR120" s="29"/>
      <c r="AS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29"/>
      <c r="AR121" s="29"/>
      <c r="AS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29"/>
      <c r="AR122" s="29"/>
      <c r="AS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29"/>
      <c r="AR123" s="29"/>
      <c r="AS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29"/>
      <c r="AR124" s="29"/>
      <c r="AS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29"/>
      <c r="AR125" s="29"/>
      <c r="AS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29"/>
      <c r="AR126" s="29"/>
      <c r="AS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29"/>
      <c r="AR127" s="29"/>
      <c r="AS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29"/>
      <c r="AR128" s="29"/>
      <c r="AS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29"/>
      <c r="AR129" s="29"/>
      <c r="AS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29"/>
      <c r="AR130" s="29"/>
      <c r="AS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29"/>
      <c r="AR131" s="29"/>
      <c r="AS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29"/>
      <c r="AR132" s="29"/>
      <c r="AS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29"/>
      <c r="AR133" s="29"/>
      <c r="AS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29"/>
      <c r="AR134" s="29"/>
      <c r="AS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29"/>
      <c r="AR135" s="29"/>
      <c r="AS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29"/>
      <c r="AR136" s="29"/>
      <c r="AS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29"/>
      <c r="AR137" s="29"/>
      <c r="AS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29"/>
      <c r="AR138" s="29"/>
      <c r="AS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29"/>
      <c r="AR139" s="29"/>
      <c r="AS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29"/>
      <c r="AR140" s="29"/>
      <c r="AS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29"/>
      <c r="AR141" s="29"/>
      <c r="AS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29"/>
      <c r="AR142" s="29"/>
      <c r="AS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29"/>
      <c r="AR143" s="29"/>
      <c r="AS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29"/>
      <c r="AR144" s="29"/>
      <c r="AS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29"/>
      <c r="AR145" s="29"/>
      <c r="AS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29"/>
      <c r="AR146" s="29"/>
      <c r="AS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29"/>
      <c r="AR147" s="29"/>
      <c r="AS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29"/>
      <c r="AR148" s="29"/>
      <c r="AS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29"/>
      <c r="AR149" s="29"/>
      <c r="AS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29"/>
      <c r="AR150" s="29"/>
      <c r="AS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29"/>
      <c r="AR151" s="29"/>
      <c r="AS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29"/>
      <c r="AR152" s="29"/>
      <c r="AS152" s="29"/>
    </row>
    <row r="153" ht="16.5" customHeight="1">
      <c r="A153" s="8"/>
      <c r="B153" s="97"/>
      <c r="C153" s="79"/>
      <c r="D153" s="79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29"/>
      <c r="AR153" s="29"/>
      <c r="AS153" s="29"/>
    </row>
    <row r="154" ht="16.5" customHeight="1">
      <c r="A154" s="8"/>
      <c r="B154" s="97"/>
      <c r="C154" s="79"/>
      <c r="D154" s="79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29"/>
      <c r="AR154" s="29"/>
      <c r="AS154" s="29"/>
    </row>
    <row r="155" ht="16.5" customHeight="1">
      <c r="A155" s="8"/>
      <c r="B155" s="97"/>
      <c r="C155" s="79"/>
      <c r="D155" s="79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29"/>
      <c r="AR155" s="29"/>
      <c r="AS155" s="29"/>
    </row>
    <row r="156" ht="16.5" customHeight="1">
      <c r="A156" s="8"/>
      <c r="B156" s="97"/>
      <c r="C156" s="79"/>
      <c r="D156" s="79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29"/>
      <c r="AR156" s="29"/>
      <c r="AS156" s="29"/>
    </row>
    <row r="157" ht="16.5" customHeight="1">
      <c r="A157" s="8"/>
      <c r="B157" s="97"/>
      <c r="C157" s="79"/>
      <c r="D157" s="79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29"/>
      <c r="AR157" s="29"/>
      <c r="AS157" s="29"/>
    </row>
    <row r="158" ht="16.5" customHeight="1">
      <c r="A158" s="8"/>
      <c r="B158" s="97"/>
      <c r="C158" s="79"/>
      <c r="D158" s="79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29"/>
      <c r="AR158" s="29"/>
      <c r="AS158" s="29"/>
    </row>
    <row r="159" ht="16.5" customHeight="1">
      <c r="A159" s="8"/>
      <c r="B159" s="97"/>
      <c r="C159" s="79"/>
      <c r="D159" s="79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29"/>
      <c r="AR159" s="29"/>
      <c r="AS159" s="29"/>
    </row>
    <row r="160" ht="16.5" customHeight="1">
      <c r="A160" s="8"/>
      <c r="B160" s="97"/>
      <c r="C160" s="79"/>
      <c r="D160" s="79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29"/>
      <c r="AR160" s="29"/>
      <c r="AS160" s="29"/>
    </row>
    <row r="161" ht="16.5" customHeight="1">
      <c r="A161" s="8"/>
      <c r="B161" s="97"/>
      <c r="C161" s="79"/>
      <c r="D161" s="79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29"/>
      <c r="AR161" s="29"/>
      <c r="AS161" s="29"/>
    </row>
    <row r="162" ht="16.5" customHeight="1">
      <c r="A162" s="8"/>
      <c r="B162" s="97"/>
      <c r="C162" s="79"/>
      <c r="D162" s="79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29"/>
      <c r="AR162" s="29"/>
      <c r="AS162" s="29"/>
    </row>
    <row r="163" ht="16.5" customHeight="1">
      <c r="A163" s="8"/>
      <c r="B163" s="97"/>
      <c r="C163" s="79"/>
      <c r="D163" s="79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29"/>
      <c r="AR163" s="29"/>
      <c r="AS163" s="29"/>
    </row>
    <row r="164" ht="16.5" customHeight="1">
      <c r="A164" s="8"/>
      <c r="B164" s="97"/>
      <c r="C164" s="79"/>
      <c r="D164" s="79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29"/>
      <c r="AR164" s="29"/>
      <c r="AS164" s="29"/>
    </row>
    <row r="165" ht="16.5" customHeight="1">
      <c r="A165" s="8"/>
      <c r="B165" s="97"/>
      <c r="C165" s="79"/>
      <c r="D165" s="79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29"/>
      <c r="AR165" s="29"/>
      <c r="AS165" s="29"/>
    </row>
    <row r="166" ht="16.5" customHeight="1">
      <c r="A166" s="8"/>
      <c r="B166" s="97"/>
      <c r="C166" s="79"/>
      <c r="D166" s="79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29"/>
      <c r="AR166" s="29"/>
      <c r="AS166" s="29"/>
    </row>
    <row r="167" ht="16.5" customHeight="1">
      <c r="A167" s="8"/>
      <c r="B167" s="97"/>
      <c r="C167" s="79"/>
      <c r="D167" s="79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29"/>
      <c r="AR167" s="29"/>
      <c r="AS167" s="29"/>
    </row>
    <row r="168" ht="16.5" customHeight="1">
      <c r="A168" s="8"/>
      <c r="B168" s="97"/>
      <c r="C168" s="79"/>
      <c r="D168" s="79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29"/>
      <c r="AR168" s="29"/>
      <c r="AS168" s="29"/>
    </row>
    <row r="169" ht="16.5" customHeight="1">
      <c r="A169" s="8"/>
      <c r="B169" s="97"/>
      <c r="C169" s="79"/>
      <c r="D169" s="79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29"/>
      <c r="AR169" s="29"/>
      <c r="AS169" s="29"/>
    </row>
    <row r="170" ht="16.5" customHeight="1">
      <c r="A170" s="8"/>
      <c r="B170" s="97"/>
      <c r="C170" s="79"/>
      <c r="D170" s="79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29"/>
      <c r="AR170" s="29"/>
      <c r="AS170" s="29"/>
    </row>
    <row r="171" ht="16.5" customHeight="1">
      <c r="A171" s="8"/>
      <c r="B171" s="97"/>
      <c r="C171" s="79"/>
      <c r="D171" s="79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29"/>
      <c r="AR171" s="29"/>
      <c r="AS171" s="29"/>
    </row>
    <row r="172" ht="16.5" customHeight="1">
      <c r="A172" s="8"/>
      <c r="B172" s="97"/>
      <c r="C172" s="79"/>
      <c r="D172" s="79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29"/>
      <c r="AR172" s="29"/>
      <c r="AS172" s="29"/>
    </row>
    <row r="173" ht="16.5" customHeight="1">
      <c r="A173" s="8"/>
      <c r="B173" s="97"/>
      <c r="C173" s="79"/>
      <c r="D173" s="79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29"/>
      <c r="AR173" s="29"/>
      <c r="AS173" s="29"/>
    </row>
    <row r="174" ht="16.5" customHeight="1">
      <c r="A174" s="8"/>
      <c r="B174" s="97"/>
      <c r="C174" s="79"/>
      <c r="D174" s="79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29"/>
      <c r="AR174" s="29"/>
      <c r="AS174" s="29"/>
    </row>
    <row r="175" ht="16.5" customHeight="1">
      <c r="A175" s="8"/>
      <c r="B175" s="97"/>
      <c r="C175" s="79"/>
      <c r="D175" s="79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29"/>
      <c r="AR175" s="29"/>
      <c r="AS175" s="29"/>
    </row>
    <row r="176" ht="16.5" customHeight="1">
      <c r="A176" s="8"/>
      <c r="B176" s="97"/>
      <c r="C176" s="79"/>
      <c r="D176" s="79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29"/>
      <c r="AR176" s="29"/>
      <c r="AS176" s="29"/>
    </row>
    <row r="177" ht="16.5" customHeight="1">
      <c r="A177" s="8"/>
      <c r="B177" s="97"/>
      <c r="C177" s="79"/>
      <c r="D177" s="79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29"/>
      <c r="AR177" s="29"/>
      <c r="AS177" s="29"/>
    </row>
    <row r="178" ht="16.5" customHeight="1">
      <c r="A178" s="8"/>
      <c r="B178" s="97"/>
      <c r="C178" s="79"/>
      <c r="D178" s="79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29"/>
      <c r="AR178" s="29"/>
      <c r="AS178" s="29"/>
    </row>
    <row r="179" ht="16.5" customHeight="1">
      <c r="A179" s="8"/>
      <c r="B179" s="97"/>
      <c r="C179" s="79"/>
      <c r="D179" s="79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29"/>
      <c r="AR179" s="29"/>
      <c r="AS179" s="29"/>
    </row>
    <row r="180" ht="16.5" customHeight="1">
      <c r="A180" s="8"/>
      <c r="B180" s="97"/>
      <c r="C180" s="79"/>
      <c r="D180" s="79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29"/>
      <c r="AR180" s="29"/>
      <c r="AS180" s="29"/>
    </row>
    <row r="181" ht="16.5" customHeight="1">
      <c r="A181" s="8"/>
      <c r="B181" s="97"/>
      <c r="C181" s="79"/>
      <c r="D181" s="79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29"/>
      <c r="AR181" s="29"/>
      <c r="AS181" s="29"/>
    </row>
    <row r="182" ht="16.5" customHeight="1">
      <c r="A182" s="8"/>
      <c r="B182" s="97"/>
      <c r="C182" s="79"/>
      <c r="D182" s="79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29"/>
      <c r="AR182" s="29"/>
      <c r="AS182" s="29"/>
    </row>
    <row r="183" ht="16.5" customHeight="1">
      <c r="A183" s="8"/>
      <c r="B183" s="97"/>
      <c r="C183" s="79"/>
      <c r="D183" s="79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29"/>
      <c r="AR183" s="29"/>
      <c r="AS183" s="29"/>
    </row>
    <row r="184" ht="16.5" customHeight="1">
      <c r="A184" s="8"/>
      <c r="B184" s="97"/>
      <c r="C184" s="79"/>
      <c r="D184" s="79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29"/>
      <c r="AR184" s="29"/>
      <c r="AS184" s="29"/>
    </row>
    <row r="185" ht="16.5" customHeight="1">
      <c r="A185" s="8"/>
      <c r="B185" s="97"/>
      <c r="C185" s="79"/>
      <c r="D185" s="79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29"/>
      <c r="AR185" s="29"/>
      <c r="AS185" s="29"/>
    </row>
    <row r="186" ht="16.5" customHeight="1">
      <c r="A186" s="8"/>
      <c r="B186" s="97"/>
      <c r="C186" s="79"/>
      <c r="D186" s="79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29"/>
      <c r="AR186" s="29"/>
      <c r="AS186" s="29"/>
    </row>
    <row r="187" ht="16.5" customHeight="1">
      <c r="A187" s="8"/>
      <c r="B187" s="97"/>
      <c r="C187" s="79"/>
      <c r="D187" s="79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29"/>
      <c r="AR187" s="29"/>
      <c r="AS187" s="29"/>
    </row>
    <row r="188" ht="16.5" customHeight="1">
      <c r="A188" s="8"/>
      <c r="B188" s="97"/>
      <c r="C188" s="79"/>
      <c r="D188" s="79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29"/>
      <c r="AR188" s="29"/>
      <c r="AS188" s="29"/>
    </row>
    <row r="189" ht="16.5" customHeight="1">
      <c r="A189" s="8"/>
      <c r="B189" s="97"/>
      <c r="C189" s="79"/>
      <c r="D189" s="79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29"/>
      <c r="AR189" s="29"/>
      <c r="AS189" s="29"/>
    </row>
    <row r="190" ht="16.5" customHeight="1">
      <c r="A190" s="8"/>
      <c r="B190" s="97"/>
      <c r="C190" s="79"/>
      <c r="D190" s="79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29"/>
      <c r="AR190" s="29"/>
      <c r="AS190" s="29"/>
    </row>
    <row r="191" ht="16.5" customHeight="1">
      <c r="A191" s="8"/>
      <c r="B191" s="97"/>
      <c r="C191" s="79"/>
      <c r="D191" s="79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29"/>
      <c r="AR191" s="29"/>
      <c r="AS191" s="29"/>
    </row>
    <row r="192" ht="16.5" customHeight="1">
      <c r="A192" s="8"/>
      <c r="B192" s="97"/>
      <c r="C192" s="79"/>
      <c r="D192" s="79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29"/>
      <c r="AR192" s="29"/>
      <c r="AS192" s="29"/>
    </row>
    <row r="193" ht="16.5" customHeight="1">
      <c r="A193" s="8"/>
      <c r="B193" s="97"/>
      <c r="C193" s="79"/>
      <c r="D193" s="79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29"/>
      <c r="AR193" s="29"/>
      <c r="AS193" s="29"/>
    </row>
    <row r="194" ht="16.5" customHeight="1">
      <c r="A194" s="8"/>
      <c r="B194" s="97"/>
      <c r="C194" s="79"/>
      <c r="D194" s="79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29"/>
      <c r="AR194" s="29"/>
      <c r="AS194" s="29"/>
    </row>
    <row r="195" ht="16.5" customHeight="1">
      <c r="A195" s="8"/>
      <c r="B195" s="97"/>
      <c r="C195" s="79"/>
      <c r="D195" s="79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29"/>
      <c r="AR195" s="29"/>
      <c r="AS195" s="29"/>
    </row>
    <row r="196" ht="16.5" customHeight="1">
      <c r="A196" s="8"/>
      <c r="B196" s="97"/>
      <c r="C196" s="79"/>
      <c r="D196" s="79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29"/>
      <c r="AR196" s="29"/>
      <c r="AS196" s="29"/>
    </row>
    <row r="197" ht="16.5" customHeight="1">
      <c r="A197" s="8"/>
      <c r="B197" s="97"/>
      <c r="C197" s="79"/>
      <c r="D197" s="79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29"/>
      <c r="AR197" s="29"/>
      <c r="AS197" s="29"/>
    </row>
    <row r="198" ht="16.5" customHeight="1">
      <c r="A198" s="8"/>
      <c r="B198" s="97"/>
      <c r="C198" s="79"/>
      <c r="D198" s="79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29"/>
      <c r="AR198" s="29"/>
      <c r="AS198" s="29"/>
    </row>
    <row r="199" ht="16.5" customHeight="1">
      <c r="A199" s="8"/>
      <c r="B199" s="97"/>
      <c r="C199" s="79"/>
      <c r="D199" s="79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29"/>
      <c r="AR199" s="29"/>
      <c r="AS199" s="29"/>
    </row>
    <row r="200" ht="16.5" customHeight="1">
      <c r="A200" s="8"/>
      <c r="B200" s="97"/>
      <c r="C200" s="79"/>
      <c r="D200" s="79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29"/>
      <c r="AR200" s="29"/>
      <c r="AS200" s="29"/>
    </row>
    <row r="201" ht="16.5" customHeight="1">
      <c r="A201" s="8"/>
      <c r="B201" s="97"/>
      <c r="C201" s="79"/>
      <c r="D201" s="79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29"/>
      <c r="AR201" s="29"/>
      <c r="AS201" s="29"/>
    </row>
    <row r="202" ht="16.5" customHeight="1">
      <c r="A202" s="8"/>
      <c r="B202" s="97"/>
      <c r="C202" s="79"/>
      <c r="D202" s="79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29"/>
      <c r="AR202" s="29"/>
      <c r="AS202" s="29"/>
    </row>
    <row r="203" ht="16.5" customHeight="1">
      <c r="A203" s="8"/>
      <c r="B203" s="97"/>
      <c r="C203" s="79"/>
      <c r="D203" s="79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29"/>
      <c r="AR203" s="29"/>
      <c r="AS203" s="29"/>
    </row>
    <row r="204" ht="16.5" customHeight="1">
      <c r="A204" s="8"/>
      <c r="B204" s="97"/>
      <c r="C204" s="79"/>
      <c r="D204" s="79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29"/>
      <c r="AR204" s="29"/>
      <c r="AS204" s="29"/>
    </row>
    <row r="205" ht="16.5" customHeight="1">
      <c r="A205" s="8"/>
      <c r="B205" s="97"/>
      <c r="C205" s="79"/>
      <c r="D205" s="79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29"/>
      <c r="AR205" s="29"/>
      <c r="AS205" s="29"/>
    </row>
    <row r="206" ht="16.5" customHeight="1">
      <c r="A206" s="8"/>
      <c r="B206" s="97"/>
      <c r="C206" s="79"/>
      <c r="D206" s="79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29"/>
      <c r="AR206" s="29"/>
      <c r="AS206" s="29"/>
    </row>
    <row r="207" ht="16.5" customHeight="1">
      <c r="A207" s="8"/>
      <c r="B207" s="97"/>
      <c r="C207" s="79"/>
      <c r="D207" s="79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29"/>
      <c r="AR207" s="29"/>
      <c r="AS207" s="29"/>
    </row>
    <row r="208" ht="16.5" customHeight="1">
      <c r="A208" s="8"/>
      <c r="B208" s="97"/>
      <c r="C208" s="79"/>
      <c r="D208" s="79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29"/>
      <c r="AR208" s="29"/>
      <c r="AS208" s="29"/>
    </row>
    <row r="209" ht="16.5" customHeight="1">
      <c r="A209" s="8"/>
      <c r="B209" s="97"/>
      <c r="C209" s="79"/>
      <c r="D209" s="79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29"/>
      <c r="AR209" s="29"/>
      <c r="AS209" s="29"/>
    </row>
    <row r="210" ht="16.5" customHeight="1">
      <c r="A210" s="8"/>
      <c r="B210" s="97"/>
      <c r="C210" s="79"/>
      <c r="D210" s="79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29"/>
      <c r="AR210" s="29"/>
      <c r="AS210" s="29"/>
    </row>
    <row r="211" ht="16.5" customHeight="1">
      <c r="A211" s="8"/>
      <c r="B211" s="97"/>
      <c r="C211" s="79"/>
      <c r="D211" s="79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29"/>
      <c r="AR211" s="29"/>
      <c r="AS211" s="29"/>
    </row>
    <row r="212" ht="16.5" customHeight="1">
      <c r="A212" s="8"/>
      <c r="B212" s="97"/>
      <c r="C212" s="79"/>
      <c r="D212" s="79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29"/>
      <c r="AR212" s="29"/>
      <c r="AS212" s="29"/>
    </row>
    <row r="213" ht="16.5" customHeight="1">
      <c r="A213" s="8"/>
      <c r="B213" s="97"/>
      <c r="C213" s="79"/>
      <c r="D213" s="79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29"/>
      <c r="AR213" s="29"/>
      <c r="AS213" s="29"/>
    </row>
    <row r="214" ht="16.5" customHeight="1">
      <c r="A214" s="8"/>
      <c r="B214" s="97"/>
      <c r="C214" s="79"/>
      <c r="D214" s="79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29"/>
      <c r="AR214" s="29"/>
      <c r="AS214" s="29"/>
    </row>
    <row r="215" ht="16.5" customHeight="1">
      <c r="A215" s="8"/>
      <c r="B215" s="97"/>
      <c r="C215" s="79"/>
      <c r="D215" s="79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29"/>
      <c r="AR215" s="29"/>
      <c r="AS215" s="29"/>
    </row>
    <row r="216" ht="16.5" customHeight="1">
      <c r="A216" s="8"/>
      <c r="B216" s="97"/>
      <c r="C216" s="79"/>
      <c r="D216" s="79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29"/>
      <c r="AR216" s="29"/>
      <c r="AS216" s="29"/>
    </row>
    <row r="217" ht="16.5" customHeight="1">
      <c r="A217" s="8"/>
      <c r="B217" s="97"/>
      <c r="C217" s="79"/>
      <c r="D217" s="79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29"/>
      <c r="AR217" s="29"/>
      <c r="AS217" s="29"/>
    </row>
    <row r="218" ht="16.5" customHeight="1">
      <c r="A218" s="8"/>
      <c r="B218" s="97"/>
      <c r="C218" s="79"/>
      <c r="D218" s="79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29"/>
      <c r="AR218" s="29"/>
      <c r="AS218" s="29"/>
    </row>
    <row r="219" ht="16.5" customHeight="1">
      <c r="A219" s="8"/>
      <c r="B219" s="97"/>
      <c r="C219" s="79"/>
      <c r="D219" s="79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29"/>
      <c r="AR219" s="29"/>
      <c r="AS219" s="29"/>
    </row>
    <row r="220" ht="16.5" customHeight="1">
      <c r="A220" s="8"/>
      <c r="B220" s="97"/>
      <c r="C220" s="79"/>
      <c r="D220" s="79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29"/>
      <c r="AR220" s="29"/>
      <c r="AS220" s="29"/>
    </row>
    <row r="221" ht="16.5" customHeight="1">
      <c r="A221" s="8"/>
      <c r="B221" s="97"/>
      <c r="C221" s="79"/>
      <c r="D221" s="79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29"/>
      <c r="AR221" s="29"/>
      <c r="AS221" s="29"/>
    </row>
    <row r="222" ht="16.5" customHeight="1">
      <c r="A222" s="8"/>
      <c r="B222" s="97"/>
      <c r="C222" s="79"/>
      <c r="D222" s="79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29"/>
      <c r="AR222" s="29"/>
      <c r="AS222" s="29"/>
    </row>
    <row r="223" ht="16.5" customHeight="1">
      <c r="A223" s="8"/>
      <c r="B223" s="97"/>
      <c r="C223" s="79"/>
      <c r="D223" s="79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29"/>
      <c r="AR223" s="29"/>
      <c r="AS223" s="29"/>
    </row>
    <row r="224" ht="16.5" customHeight="1">
      <c r="A224" s="8"/>
      <c r="B224" s="97"/>
      <c r="C224" s="79"/>
      <c r="D224" s="79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29"/>
      <c r="AR224" s="29"/>
      <c r="AS224" s="29"/>
    </row>
    <row r="225" ht="16.5" customHeight="1">
      <c r="A225" s="8"/>
      <c r="B225" s="97"/>
      <c r="C225" s="79"/>
      <c r="D225" s="79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29"/>
      <c r="AR225" s="29"/>
      <c r="AS225" s="29"/>
    </row>
    <row r="226" ht="16.5" customHeight="1">
      <c r="A226" s="8"/>
      <c r="B226" s="97"/>
      <c r="C226" s="79"/>
      <c r="D226" s="79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29"/>
      <c r="AR226" s="29"/>
      <c r="AS226" s="29"/>
    </row>
    <row r="227" ht="16.5" customHeight="1">
      <c r="A227" s="8"/>
      <c r="B227" s="97"/>
      <c r="C227" s="79"/>
      <c r="D227" s="79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29"/>
      <c r="AR227" s="29"/>
      <c r="AS227" s="29"/>
    </row>
    <row r="228" ht="16.5" customHeight="1">
      <c r="A228" s="8"/>
      <c r="B228" s="97"/>
      <c r="C228" s="79"/>
      <c r="D228" s="79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29"/>
      <c r="AR228" s="29"/>
      <c r="AS228" s="29"/>
    </row>
    <row r="229" ht="16.5" customHeight="1">
      <c r="A229" s="8"/>
      <c r="B229" s="97"/>
      <c r="C229" s="79"/>
      <c r="D229" s="79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29"/>
      <c r="AR229" s="29"/>
      <c r="AS229" s="29"/>
    </row>
    <row r="230" ht="16.5" customHeight="1">
      <c r="A230" s="8"/>
      <c r="B230" s="97"/>
      <c r="C230" s="79"/>
      <c r="D230" s="79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29"/>
      <c r="AR230" s="29"/>
      <c r="AS230" s="29"/>
    </row>
    <row r="231" ht="16.5" customHeight="1">
      <c r="A231" s="8"/>
      <c r="B231" s="97"/>
      <c r="C231" s="79"/>
      <c r="D231" s="79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29"/>
      <c r="AR231" s="29"/>
      <c r="AS231" s="29"/>
    </row>
    <row r="232" ht="16.5" customHeight="1">
      <c r="A232" s="8"/>
      <c r="B232" s="97"/>
      <c r="C232" s="79"/>
      <c r="D232" s="79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29"/>
      <c r="AR232" s="29"/>
      <c r="AS232" s="29"/>
    </row>
    <row r="233" ht="16.5" customHeight="1">
      <c r="A233" s="8"/>
      <c r="B233" s="97"/>
      <c r="C233" s="79"/>
      <c r="D233" s="79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29"/>
      <c r="AR233" s="29"/>
      <c r="AS233" s="29"/>
    </row>
    <row r="234" ht="16.5" customHeight="1">
      <c r="A234" s="8"/>
      <c r="B234" s="97"/>
      <c r="C234" s="79"/>
      <c r="D234" s="79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29"/>
      <c r="AR234" s="29"/>
      <c r="AS234" s="29"/>
    </row>
    <row r="235" ht="16.5" customHeight="1">
      <c r="A235" s="8"/>
      <c r="B235" s="97"/>
      <c r="C235" s="79"/>
      <c r="D235" s="79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29"/>
      <c r="AR235" s="29"/>
      <c r="AS235" s="2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</row>
  </sheetData>
  <autoFilter ref="$A$3:$AP$3">
    <sortState ref="A3:AP3">
      <sortCondition ref="A3"/>
    </sortState>
  </autoFilter>
  <mergeCells count="3">
    <mergeCell ref="AG2:AI2"/>
    <mergeCell ref="AJ2:AL2"/>
    <mergeCell ref="AM2:AO2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Col="1"/>
  <cols>
    <col customWidth="1" min="1" max="1" width="5.86"/>
    <col customWidth="1" min="2" max="2" width="22.14"/>
    <col customWidth="1" hidden="1" min="3" max="3" width="14.43" outlineLevel="1"/>
    <col customWidth="1" hidden="1" min="4" max="4" width="15.29" outlineLevel="1"/>
    <col customWidth="1" hidden="1" min="5" max="5" width="12.43" outlineLevel="1"/>
    <col customWidth="1" hidden="1" min="6" max="6" width="7.57" outlineLevel="1"/>
    <col customWidth="1" hidden="1" min="7" max="7" width="8.29" outlineLevel="1"/>
    <col customWidth="1" hidden="1" min="8" max="8" width="15.43" outlineLevel="1"/>
    <col customWidth="1" hidden="1" min="9" max="9" width="7.71" outlineLevel="1"/>
    <col customWidth="1" hidden="1" min="10" max="10" width="6.57" outlineLevel="1"/>
    <col customWidth="1" hidden="1" min="11" max="11" width="13.71" outlineLevel="1"/>
    <col customWidth="1" hidden="1" min="12" max="12" width="14.57" outlineLevel="1"/>
    <col collapsed="1" customWidth="1" min="13" max="13" width="11.86"/>
    <col customWidth="1" min="14" max="17" width="11.57" outlineLevel="1"/>
    <col customWidth="1" min="18" max="18" width="17.43" outlineLevel="1"/>
    <col customWidth="1" min="19" max="19" width="16.57" outlineLevel="1"/>
    <col customWidth="1" min="20" max="21" width="11.57" outlineLevel="1"/>
    <col customWidth="1" min="22" max="22" width="14.0"/>
    <col customWidth="1" min="23" max="23" width="12.71" outlineLevel="1"/>
    <col customWidth="1" min="24" max="24" width="12.57" outlineLevel="1"/>
    <col customWidth="1" min="25" max="25" width="15.14" outlineLevel="1"/>
    <col customWidth="1" min="26" max="27" width="12.29" outlineLevel="1"/>
    <col customWidth="1" min="28" max="28" width="14.14" outlineLevel="1"/>
    <col customWidth="1" min="29" max="29" width="17.43" outlineLevel="1"/>
    <col customWidth="1" min="30" max="30" width="9.0" outlineLevel="1"/>
    <col customWidth="1" min="31" max="31" width="11.57"/>
    <col customWidth="1" min="32" max="32" width="9.43"/>
    <col customWidth="1" min="33" max="33" width="14.0"/>
    <col customWidth="1" min="34" max="34" width="9.14"/>
    <col customWidth="1" min="35" max="36" width="10.86"/>
    <col customWidth="1" min="37" max="37" width="3.14"/>
    <col customWidth="1" min="38" max="38" width="10.29"/>
    <col customWidth="1" min="39" max="39" width="12.86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4"/>
      <c r="Y1" s="8"/>
      <c r="Z1" s="8"/>
      <c r="AA1" s="8"/>
      <c r="AB1" s="8"/>
      <c r="AC1" s="8"/>
      <c r="AD1" s="8"/>
      <c r="AE1" s="135"/>
      <c r="AF1" s="136"/>
      <c r="AG1" s="8"/>
      <c r="AH1" s="8"/>
      <c r="AI1" s="8"/>
      <c r="AJ1" s="8"/>
      <c r="AK1" s="8"/>
      <c r="AL1" s="8"/>
      <c r="AM1" s="9"/>
    </row>
    <row r="2">
      <c r="A2" s="10" t="s">
        <v>3</v>
      </c>
      <c r="B2" s="11"/>
      <c r="C2" s="11"/>
      <c r="D2" s="11"/>
      <c r="E2" s="11"/>
      <c r="F2" s="11"/>
      <c r="G2" s="11"/>
      <c r="H2" s="11"/>
      <c r="I2" s="12"/>
      <c r="J2" s="11"/>
      <c r="K2" s="11"/>
      <c r="L2" s="11"/>
      <c r="M2" s="10" t="s">
        <v>4</v>
      </c>
      <c r="N2" s="10"/>
      <c r="O2" s="11"/>
      <c r="P2" s="11"/>
      <c r="Q2" s="11"/>
      <c r="R2" s="11"/>
      <c r="S2" s="11"/>
      <c r="T2" s="13"/>
      <c r="U2" s="13"/>
      <c r="V2" s="137" t="s">
        <v>152</v>
      </c>
      <c r="W2" s="137"/>
      <c r="X2" s="15"/>
      <c r="Y2" s="17"/>
      <c r="Z2" s="17"/>
      <c r="AA2" s="17"/>
      <c r="AB2" s="17"/>
      <c r="AC2" s="17"/>
      <c r="AD2" s="17"/>
      <c r="AE2" s="116" t="s">
        <v>153</v>
      </c>
      <c r="AF2" s="136"/>
      <c r="AG2" s="138"/>
      <c r="AH2" s="139"/>
      <c r="AI2" s="139"/>
      <c r="AJ2" s="140"/>
      <c r="AK2" s="8"/>
      <c r="AL2" s="8"/>
      <c r="AM2" s="18"/>
    </row>
    <row r="3">
      <c r="A3" s="19" t="s">
        <v>7</v>
      </c>
      <c r="B3" s="19" t="s">
        <v>8</v>
      </c>
      <c r="C3" s="20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21" t="s">
        <v>15</v>
      </c>
      <c r="J3" s="19" t="s">
        <v>16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19" t="s">
        <v>23</v>
      </c>
      <c r="Q3" s="22" t="s">
        <v>24</v>
      </c>
      <c r="R3" s="19" t="s">
        <v>25</v>
      </c>
      <c r="S3" s="19" t="s">
        <v>26</v>
      </c>
      <c r="T3" s="19" t="s">
        <v>27</v>
      </c>
      <c r="U3" s="23" t="s">
        <v>28</v>
      </c>
      <c r="V3" s="24" t="s">
        <v>20</v>
      </c>
      <c r="W3" s="143" t="s">
        <v>121</v>
      </c>
      <c r="X3" s="144" t="s">
        <v>122</v>
      </c>
      <c r="Y3" s="24" t="s">
        <v>23</v>
      </c>
      <c r="Z3" s="24" t="s">
        <v>31</v>
      </c>
      <c r="AA3" s="24" t="s">
        <v>32</v>
      </c>
      <c r="AB3" s="24" t="s">
        <v>28</v>
      </c>
      <c r="AC3" s="24" t="s">
        <v>33</v>
      </c>
      <c r="AD3" s="24" t="s">
        <v>34</v>
      </c>
      <c r="AE3" s="20" t="s">
        <v>123</v>
      </c>
      <c r="AF3" s="20" t="s">
        <v>124</v>
      </c>
      <c r="AG3" s="20" t="s">
        <v>125</v>
      </c>
      <c r="AH3" s="20" t="s">
        <v>126</v>
      </c>
      <c r="AI3" s="234" t="s">
        <v>34</v>
      </c>
      <c r="AJ3" s="145" t="s">
        <v>127</v>
      </c>
      <c r="AK3" s="148"/>
      <c r="AL3" s="29"/>
      <c r="AM3" s="29"/>
    </row>
    <row r="4" ht="16.5" customHeight="1">
      <c r="A4" s="235">
        <v>2.0</v>
      </c>
      <c r="B4" s="235" t="s">
        <v>52</v>
      </c>
      <c r="C4" s="31" t="s">
        <v>43</v>
      </c>
      <c r="D4" s="32" t="s">
        <v>53</v>
      </c>
      <c r="E4" s="33" t="s">
        <v>45</v>
      </c>
      <c r="F4" s="33" t="s">
        <v>46</v>
      </c>
      <c r="G4" s="33" t="s">
        <v>47</v>
      </c>
      <c r="H4" s="34">
        <v>44006.0</v>
      </c>
      <c r="I4" s="35" t="str">
        <f t="shared" ref="I4:I19" si="1">DATEDIF(H4,#REF!,"y")</f>
        <v>#REF!</v>
      </c>
      <c r="J4" s="36" t="s">
        <v>48</v>
      </c>
      <c r="K4" s="164">
        <v>44498.0</v>
      </c>
      <c r="L4" s="39">
        <v>2021.0</v>
      </c>
      <c r="M4" s="165" t="s">
        <v>55</v>
      </c>
      <c r="N4" s="41" t="s">
        <v>56</v>
      </c>
      <c r="O4" s="42">
        <v>118693.0</v>
      </c>
      <c r="P4" s="43">
        <v>5500.0</v>
      </c>
      <c r="Q4" s="44">
        <f t="shared" ref="Q4:Q10" si="2">O4+P4</f>
        <v>124193</v>
      </c>
      <c r="R4" s="43">
        <v>18500.0</v>
      </c>
      <c r="S4" s="44">
        <f>R4*P4</f>
        <v>101750000</v>
      </c>
      <c r="T4" s="45">
        <f t="shared" ref="T4:T10" si="3">P4/Q4</f>
        <v>0.04428590983</v>
      </c>
      <c r="U4" s="46">
        <f t="shared" ref="U4:U10" si="4">Q4*R4/100000000</f>
        <v>22.975705</v>
      </c>
      <c r="V4" s="166" t="s">
        <v>57</v>
      </c>
      <c r="W4" s="152">
        <v>45644.0</v>
      </c>
      <c r="X4" s="153">
        <v>184960.0</v>
      </c>
      <c r="Y4" s="51">
        <v>5500.0</v>
      </c>
      <c r="Z4" s="50">
        <v>204246.0</v>
      </c>
      <c r="AA4" s="52">
        <f t="shared" ref="AA4:AA17" si="5">Y4/Z4</f>
        <v>0.02692831194</v>
      </c>
      <c r="AB4" s="53">
        <f t="shared" ref="AB4:AB17" si="6">Z4*X4/100000000</f>
        <v>377.7734016</v>
      </c>
      <c r="AC4" s="54">
        <f t="shared" ref="AC4:AC10" si="7">X4*Y4</f>
        <v>1017280000</v>
      </c>
      <c r="AD4" s="55">
        <f t="shared" ref="AD4:AD19" si="8">AC4/S4</f>
        <v>9.997837838</v>
      </c>
      <c r="AE4" s="154" t="s">
        <v>56</v>
      </c>
      <c r="AF4" s="155">
        <v>0.0</v>
      </c>
      <c r="AG4" s="44">
        <f t="shared" ref="AG4:AG10" si="9">AC4*(1-AF4)</f>
        <v>1017280000</v>
      </c>
      <c r="AH4" s="45">
        <f t="shared" ref="AH4:AH19" si="10">(AG4-S4)/S4</f>
        <v>8.997837838</v>
      </c>
      <c r="AI4" s="236">
        <f t="shared" ref="AI4:AI20" si="11">AG4/S4</f>
        <v>9.997837838</v>
      </c>
      <c r="AJ4" s="167"/>
      <c r="AK4" s="148"/>
      <c r="AL4" s="29"/>
      <c r="AM4" s="29"/>
    </row>
    <row r="5" ht="16.5" customHeight="1">
      <c r="A5" s="235">
        <v>3.0</v>
      </c>
      <c r="B5" s="235" t="s">
        <v>59</v>
      </c>
      <c r="C5" s="31" t="s">
        <v>43</v>
      </c>
      <c r="D5" s="32" t="s">
        <v>53</v>
      </c>
      <c r="E5" s="33" t="s">
        <v>45</v>
      </c>
      <c r="F5" s="33" t="s">
        <v>46</v>
      </c>
      <c r="G5" s="33" t="s">
        <v>47</v>
      </c>
      <c r="H5" s="34">
        <v>44006.0</v>
      </c>
      <c r="I5" s="35" t="str">
        <f t="shared" si="1"/>
        <v>#REF!</v>
      </c>
      <c r="J5" s="36" t="s">
        <v>48</v>
      </c>
      <c r="K5" s="164">
        <v>44671.0</v>
      </c>
      <c r="L5" s="39">
        <v>2022.0</v>
      </c>
      <c r="M5" s="165" t="s">
        <v>49</v>
      </c>
      <c r="N5" s="41" t="s">
        <v>56</v>
      </c>
      <c r="O5" s="42">
        <v>382716.0</v>
      </c>
      <c r="P5" s="43">
        <v>4766.0</v>
      </c>
      <c r="Q5" s="44">
        <f t="shared" si="2"/>
        <v>387482</v>
      </c>
      <c r="R5" s="43">
        <f>S5/P5</f>
        <v>62935</v>
      </c>
      <c r="S5" s="44">
        <v>2.9994821E8</v>
      </c>
      <c r="T5" s="45">
        <f t="shared" si="3"/>
        <v>0.01229992619</v>
      </c>
      <c r="U5" s="46">
        <f t="shared" si="4"/>
        <v>243.8617967</v>
      </c>
      <c r="V5" s="166" t="s">
        <v>57</v>
      </c>
      <c r="W5" s="152">
        <v>45644.0</v>
      </c>
      <c r="X5" s="153">
        <v>184960.0</v>
      </c>
      <c r="Y5" s="51">
        <v>4766.0</v>
      </c>
      <c r="Z5" s="50">
        <v>204246.0</v>
      </c>
      <c r="AA5" s="52">
        <f t="shared" si="5"/>
        <v>0.02333460631</v>
      </c>
      <c r="AB5" s="53">
        <f t="shared" si="6"/>
        <v>377.7734016</v>
      </c>
      <c r="AC5" s="54">
        <f t="shared" si="7"/>
        <v>881519360</v>
      </c>
      <c r="AD5" s="55">
        <f t="shared" si="8"/>
        <v>2.93890522</v>
      </c>
      <c r="AE5" s="154" t="s">
        <v>56</v>
      </c>
      <c r="AF5" s="155">
        <v>0.0</v>
      </c>
      <c r="AG5" s="44">
        <f t="shared" si="9"/>
        <v>881519360</v>
      </c>
      <c r="AH5" s="45">
        <f t="shared" si="10"/>
        <v>1.93890522</v>
      </c>
      <c r="AI5" s="236">
        <f t="shared" si="11"/>
        <v>2.93890522</v>
      </c>
      <c r="AJ5" s="167"/>
      <c r="AK5" s="148"/>
      <c r="AL5" s="170"/>
      <c r="AM5" s="29"/>
    </row>
    <row r="6" ht="16.5" customHeight="1">
      <c r="A6" s="235">
        <v>4.0</v>
      </c>
      <c r="B6" s="235" t="s">
        <v>60</v>
      </c>
      <c r="C6" s="31" t="s">
        <v>43</v>
      </c>
      <c r="D6" s="32" t="s">
        <v>61</v>
      </c>
      <c r="E6" s="33" t="s">
        <v>45</v>
      </c>
      <c r="F6" s="33" t="s">
        <v>46</v>
      </c>
      <c r="G6" s="33" t="s">
        <v>47</v>
      </c>
      <c r="H6" s="34">
        <v>44138.0</v>
      </c>
      <c r="I6" s="35" t="str">
        <f t="shared" si="1"/>
        <v>#REF!</v>
      </c>
      <c r="J6" s="36" t="s">
        <v>48</v>
      </c>
      <c r="K6" s="164">
        <v>44491.0</v>
      </c>
      <c r="L6" s="39">
        <v>2021.0</v>
      </c>
      <c r="M6" s="165" t="s">
        <v>55</v>
      </c>
      <c r="N6" s="41" t="s">
        <v>50</v>
      </c>
      <c r="O6" s="42">
        <v>54167.0</v>
      </c>
      <c r="P6" s="43">
        <v>3009.0</v>
      </c>
      <c r="Q6" s="44">
        <f t="shared" si="2"/>
        <v>57176</v>
      </c>
      <c r="R6" s="43">
        <v>33230.0</v>
      </c>
      <c r="S6" s="44">
        <f t="shared" ref="S6:S10" si="12">R6*P6</f>
        <v>99989070</v>
      </c>
      <c r="T6" s="45">
        <f t="shared" si="3"/>
        <v>0.05262697635</v>
      </c>
      <c r="U6" s="46">
        <f t="shared" si="4"/>
        <v>18.9995848</v>
      </c>
      <c r="V6" s="166" t="s">
        <v>62</v>
      </c>
      <c r="W6" s="237">
        <v>45856.0</v>
      </c>
      <c r="X6" s="153">
        <v>235000.0</v>
      </c>
      <c r="Y6" s="51">
        <v>3009.0</v>
      </c>
      <c r="Z6" s="77">
        <v>94891.0</v>
      </c>
      <c r="AA6" s="52">
        <f t="shared" si="5"/>
        <v>0.03171006734</v>
      </c>
      <c r="AB6" s="53">
        <f t="shared" si="6"/>
        <v>222.99385</v>
      </c>
      <c r="AC6" s="54">
        <f t="shared" si="7"/>
        <v>707115000</v>
      </c>
      <c r="AD6" s="55">
        <f t="shared" si="8"/>
        <v>7.071922961</v>
      </c>
      <c r="AE6" s="154" t="s">
        <v>50</v>
      </c>
      <c r="AF6" s="155">
        <v>0.0</v>
      </c>
      <c r="AG6" s="44">
        <f t="shared" si="9"/>
        <v>707115000</v>
      </c>
      <c r="AH6" s="45">
        <f t="shared" si="10"/>
        <v>6.071922961</v>
      </c>
      <c r="AI6" s="236">
        <f t="shared" si="11"/>
        <v>7.071922961</v>
      </c>
      <c r="AJ6" s="167"/>
      <c r="AK6" s="148"/>
      <c r="AL6" s="29"/>
      <c r="AM6" s="29"/>
    </row>
    <row r="7" ht="16.5" customHeight="1">
      <c r="A7" s="235">
        <v>15.0</v>
      </c>
      <c r="B7" s="235" t="s">
        <v>93</v>
      </c>
      <c r="C7" s="31" t="s">
        <v>69</v>
      </c>
      <c r="D7" s="33" t="s">
        <v>94</v>
      </c>
      <c r="E7" s="33" t="s">
        <v>45</v>
      </c>
      <c r="F7" s="33" t="s">
        <v>46</v>
      </c>
      <c r="G7" s="33" t="s">
        <v>47</v>
      </c>
      <c r="H7" s="34">
        <v>44055.0</v>
      </c>
      <c r="I7" s="35" t="str">
        <f t="shared" si="1"/>
        <v>#REF!</v>
      </c>
      <c r="J7" s="36" t="s">
        <v>48</v>
      </c>
      <c r="K7" s="164">
        <v>45127.0</v>
      </c>
      <c r="L7" s="39">
        <v>2023.0</v>
      </c>
      <c r="M7" s="171" t="s">
        <v>62</v>
      </c>
      <c r="N7" s="41" t="s">
        <v>56</v>
      </c>
      <c r="O7" s="42">
        <v>373763.0</v>
      </c>
      <c r="P7" s="43">
        <v>4477.0</v>
      </c>
      <c r="Q7" s="44">
        <f t="shared" si="2"/>
        <v>378240</v>
      </c>
      <c r="R7" s="43">
        <v>44680.0</v>
      </c>
      <c r="S7" s="44">
        <f t="shared" si="12"/>
        <v>200032360</v>
      </c>
      <c r="T7" s="45">
        <f t="shared" si="3"/>
        <v>0.01183640017</v>
      </c>
      <c r="U7" s="46">
        <f t="shared" si="4"/>
        <v>168.997632</v>
      </c>
      <c r="V7" s="166" t="s">
        <v>109</v>
      </c>
      <c r="W7" s="152">
        <v>45777.0</v>
      </c>
      <c r="X7" s="189">
        <v>56911.0</v>
      </c>
      <c r="Y7" s="51">
        <v>4477.0</v>
      </c>
      <c r="Z7" s="77">
        <v>432169.0</v>
      </c>
      <c r="AA7" s="52">
        <f t="shared" si="5"/>
        <v>0.0103593733</v>
      </c>
      <c r="AB7" s="53">
        <f t="shared" si="6"/>
        <v>245.9516996</v>
      </c>
      <c r="AC7" s="54">
        <f t="shared" si="7"/>
        <v>254790547</v>
      </c>
      <c r="AD7" s="55">
        <f t="shared" si="8"/>
        <v>1.273746643</v>
      </c>
      <c r="AE7" s="154" t="s">
        <v>56</v>
      </c>
      <c r="AF7" s="155">
        <v>0.0</v>
      </c>
      <c r="AG7" s="44">
        <f t="shared" si="9"/>
        <v>254790547</v>
      </c>
      <c r="AH7" s="45">
        <f t="shared" si="10"/>
        <v>0.2737466428</v>
      </c>
      <c r="AI7" s="236">
        <f t="shared" si="11"/>
        <v>1.273746643</v>
      </c>
      <c r="AJ7" s="167"/>
      <c r="AK7" s="148"/>
      <c r="AL7" s="29"/>
      <c r="AM7" s="29"/>
    </row>
    <row r="8" ht="16.5" customHeight="1">
      <c r="A8" s="235">
        <v>16.0</v>
      </c>
      <c r="B8" s="235" t="s">
        <v>98</v>
      </c>
      <c r="C8" s="31" t="s">
        <v>69</v>
      </c>
      <c r="D8" s="33" t="s">
        <v>94</v>
      </c>
      <c r="E8" s="33" t="s">
        <v>45</v>
      </c>
      <c r="F8" s="33" t="s">
        <v>46</v>
      </c>
      <c r="G8" s="33" t="s">
        <v>47</v>
      </c>
      <c r="H8" s="34">
        <v>44055.0</v>
      </c>
      <c r="I8" s="35" t="str">
        <f t="shared" si="1"/>
        <v>#REF!</v>
      </c>
      <c r="J8" s="36" t="s">
        <v>48</v>
      </c>
      <c r="K8" s="149">
        <v>45265.0</v>
      </c>
      <c r="L8" s="39">
        <v>2023.0</v>
      </c>
      <c r="M8" s="165" t="s">
        <v>62</v>
      </c>
      <c r="N8" s="41" t="s">
        <v>56</v>
      </c>
      <c r="O8" s="42">
        <v>382716.0</v>
      </c>
      <c r="P8" s="43">
        <v>2239.0</v>
      </c>
      <c r="Q8" s="44">
        <f t="shared" si="2"/>
        <v>384955</v>
      </c>
      <c r="R8" s="43">
        <v>44680.0</v>
      </c>
      <c r="S8" s="44">
        <f t="shared" si="12"/>
        <v>100038520</v>
      </c>
      <c r="T8" s="45">
        <f t="shared" si="3"/>
        <v>0.005816264239</v>
      </c>
      <c r="U8" s="46">
        <f t="shared" si="4"/>
        <v>171.997894</v>
      </c>
      <c r="V8" s="166" t="s">
        <v>109</v>
      </c>
      <c r="W8" s="152">
        <v>45777.0</v>
      </c>
      <c r="X8" s="189">
        <v>56911.0</v>
      </c>
      <c r="Y8" s="51">
        <v>2239.0</v>
      </c>
      <c r="Z8" s="77">
        <v>432169.0</v>
      </c>
      <c r="AA8" s="52">
        <f t="shared" si="5"/>
        <v>0.005180843605</v>
      </c>
      <c r="AB8" s="53">
        <f t="shared" si="6"/>
        <v>245.9516996</v>
      </c>
      <c r="AC8" s="54">
        <f t="shared" si="7"/>
        <v>127423729</v>
      </c>
      <c r="AD8" s="55">
        <f t="shared" si="8"/>
        <v>1.273746643</v>
      </c>
      <c r="AE8" s="154" t="s">
        <v>56</v>
      </c>
      <c r="AF8" s="155">
        <v>0.0</v>
      </c>
      <c r="AG8" s="44">
        <f t="shared" si="9"/>
        <v>127423729</v>
      </c>
      <c r="AH8" s="45">
        <f t="shared" si="10"/>
        <v>0.2737466428</v>
      </c>
      <c r="AI8" s="236">
        <f t="shared" si="11"/>
        <v>1.273746643</v>
      </c>
      <c r="AJ8" s="167"/>
      <c r="AK8" s="148"/>
      <c r="AL8" s="29"/>
      <c r="AM8" s="29"/>
    </row>
    <row r="9" ht="16.5" customHeight="1">
      <c r="A9" s="238">
        <v>5.0</v>
      </c>
      <c r="B9" s="238" t="s">
        <v>63</v>
      </c>
      <c r="C9" s="31" t="s">
        <v>64</v>
      </c>
      <c r="D9" s="33" t="s">
        <v>65</v>
      </c>
      <c r="E9" s="33" t="s">
        <v>45</v>
      </c>
      <c r="F9" s="33" t="s">
        <v>46</v>
      </c>
      <c r="G9" s="33" t="s">
        <v>47</v>
      </c>
      <c r="H9" s="34">
        <v>44007.0</v>
      </c>
      <c r="I9" s="35" t="str">
        <f t="shared" si="1"/>
        <v>#REF!</v>
      </c>
      <c r="J9" s="36" t="s">
        <v>48</v>
      </c>
      <c r="K9" s="164">
        <v>44932.0</v>
      </c>
      <c r="L9" s="39">
        <v>2023.0</v>
      </c>
      <c r="M9" s="171" t="s">
        <v>62</v>
      </c>
      <c r="N9" s="33" t="s">
        <v>56</v>
      </c>
      <c r="O9" s="66">
        <v>137321.0</v>
      </c>
      <c r="P9" s="43">
        <v>610.0</v>
      </c>
      <c r="Q9" s="44">
        <f t="shared" si="2"/>
        <v>137931</v>
      </c>
      <c r="R9" s="43">
        <v>163849.0</v>
      </c>
      <c r="S9" s="44">
        <f t="shared" si="12"/>
        <v>99947890</v>
      </c>
      <c r="T9" s="45">
        <f t="shared" si="3"/>
        <v>0.004422501106</v>
      </c>
      <c r="U9" s="46">
        <f t="shared" si="4"/>
        <v>225.9985642</v>
      </c>
      <c r="V9" s="166" t="s">
        <v>66</v>
      </c>
      <c r="W9" s="152">
        <v>45563.0</v>
      </c>
      <c r="X9" s="153">
        <v>190520.0</v>
      </c>
      <c r="Y9" s="51">
        <v>610.0</v>
      </c>
      <c r="Z9" s="77">
        <v>166385.0</v>
      </c>
      <c r="AA9" s="52">
        <f t="shared" si="5"/>
        <v>0.003666195871</v>
      </c>
      <c r="AB9" s="53">
        <f t="shared" si="6"/>
        <v>316.996702</v>
      </c>
      <c r="AC9" s="54">
        <f t="shared" si="7"/>
        <v>116217200</v>
      </c>
      <c r="AD9" s="55">
        <f t="shared" si="8"/>
        <v>1.162777924</v>
      </c>
      <c r="AE9" s="154" t="s">
        <v>56</v>
      </c>
      <c r="AF9" s="155">
        <v>0.0</v>
      </c>
      <c r="AG9" s="44">
        <f t="shared" si="9"/>
        <v>116217200</v>
      </c>
      <c r="AH9" s="45">
        <f t="shared" si="10"/>
        <v>0.1627779236</v>
      </c>
      <c r="AI9" s="236">
        <f t="shared" si="11"/>
        <v>1.162777924</v>
      </c>
      <c r="AJ9" s="167"/>
      <c r="AK9" s="148"/>
      <c r="AL9" s="29"/>
      <c r="AM9" s="29"/>
    </row>
    <row r="10" ht="16.5" customHeight="1">
      <c r="A10" s="235">
        <v>6.0</v>
      </c>
      <c r="B10" s="238" t="s">
        <v>67</v>
      </c>
      <c r="C10" s="31" t="s">
        <v>64</v>
      </c>
      <c r="D10" s="33" t="s">
        <v>65</v>
      </c>
      <c r="E10" s="33" t="s">
        <v>45</v>
      </c>
      <c r="F10" s="33" t="s">
        <v>46</v>
      </c>
      <c r="G10" s="33" t="s">
        <v>47</v>
      </c>
      <c r="H10" s="34">
        <v>44007.0</v>
      </c>
      <c r="I10" s="35" t="str">
        <f t="shared" si="1"/>
        <v>#REF!</v>
      </c>
      <c r="J10" s="36" t="s">
        <v>48</v>
      </c>
      <c r="K10" s="164">
        <v>45562.0</v>
      </c>
      <c r="L10" s="39">
        <v>2024.0</v>
      </c>
      <c r="M10" s="171" t="s">
        <v>57</v>
      </c>
      <c r="N10" s="33" t="s">
        <v>56</v>
      </c>
      <c r="O10" s="66">
        <v>165335.0</v>
      </c>
      <c r="P10" s="43">
        <v>1050.0</v>
      </c>
      <c r="Q10" s="44">
        <f t="shared" si="2"/>
        <v>166385</v>
      </c>
      <c r="R10" s="43">
        <v>190520.0</v>
      </c>
      <c r="S10" s="44">
        <f t="shared" si="12"/>
        <v>200046000</v>
      </c>
      <c r="T10" s="45">
        <f t="shared" si="3"/>
        <v>0.006310665024</v>
      </c>
      <c r="U10" s="46">
        <f t="shared" si="4"/>
        <v>316.996702</v>
      </c>
      <c r="V10" s="166" t="s">
        <v>66</v>
      </c>
      <c r="W10" s="152">
        <v>45563.0</v>
      </c>
      <c r="X10" s="153">
        <v>190520.0</v>
      </c>
      <c r="Y10" s="51">
        <v>1050.0</v>
      </c>
      <c r="Z10" s="77">
        <v>166385.0</v>
      </c>
      <c r="AA10" s="52">
        <f t="shared" si="5"/>
        <v>0.006310665024</v>
      </c>
      <c r="AB10" s="53">
        <f t="shared" si="6"/>
        <v>316.996702</v>
      </c>
      <c r="AC10" s="54">
        <f t="shared" si="7"/>
        <v>200046000</v>
      </c>
      <c r="AD10" s="55">
        <f t="shared" si="8"/>
        <v>1</v>
      </c>
      <c r="AE10" s="154" t="s">
        <v>56</v>
      </c>
      <c r="AF10" s="155">
        <v>0.0</v>
      </c>
      <c r="AG10" s="44">
        <f t="shared" si="9"/>
        <v>200046000</v>
      </c>
      <c r="AH10" s="45">
        <f t="shared" si="10"/>
        <v>0</v>
      </c>
      <c r="AI10" s="236">
        <f t="shared" si="11"/>
        <v>1</v>
      </c>
      <c r="AJ10" s="167"/>
      <c r="AK10" s="148"/>
      <c r="AL10" s="29"/>
      <c r="AM10" s="29"/>
    </row>
    <row r="11" ht="16.5" customHeight="1">
      <c r="A11" s="239">
        <v>7.0</v>
      </c>
      <c r="B11" s="239" t="s">
        <v>68</v>
      </c>
      <c r="C11" s="31" t="s">
        <v>69</v>
      </c>
      <c r="D11" s="32" t="s">
        <v>70</v>
      </c>
      <c r="E11" s="33" t="s">
        <v>45</v>
      </c>
      <c r="F11" s="33" t="s">
        <v>46</v>
      </c>
      <c r="G11" s="33" t="s">
        <v>47</v>
      </c>
      <c r="H11" s="34">
        <v>43878.0</v>
      </c>
      <c r="I11" s="35" t="str">
        <f t="shared" si="1"/>
        <v>#REF!</v>
      </c>
      <c r="J11" s="36" t="s">
        <v>48</v>
      </c>
      <c r="K11" s="164">
        <v>44886.0</v>
      </c>
      <c r="L11" s="39">
        <v>2022.0</v>
      </c>
      <c r="M11" s="171" t="s">
        <v>55</v>
      </c>
      <c r="N11" s="41" t="s">
        <v>71</v>
      </c>
      <c r="O11" s="69">
        <v>7356025.0</v>
      </c>
      <c r="P11" s="43" t="s">
        <v>72</v>
      </c>
      <c r="Q11" s="44">
        <f t="shared" ref="Q11:Q12" si="13">O11</f>
        <v>7356025</v>
      </c>
      <c r="R11" s="43">
        <v>1.0E8</v>
      </c>
      <c r="S11" s="43">
        <v>1.0E8</v>
      </c>
      <c r="T11" s="45" t="s">
        <v>72</v>
      </c>
      <c r="U11" s="70" t="s">
        <v>73</v>
      </c>
      <c r="V11" s="240" t="s">
        <v>154</v>
      </c>
      <c r="W11" s="241">
        <v>44944.0</v>
      </c>
      <c r="X11" s="242"/>
      <c r="Y11" s="243">
        <v>0.0</v>
      </c>
      <c r="Z11" s="244">
        <v>7356025.0</v>
      </c>
      <c r="AA11" s="245">
        <f t="shared" si="5"/>
        <v>0</v>
      </c>
      <c r="AB11" s="246">
        <f t="shared" si="6"/>
        <v>0</v>
      </c>
      <c r="AC11" s="247">
        <v>1.0E8</v>
      </c>
      <c r="AD11" s="248">
        <f t="shared" si="8"/>
        <v>1</v>
      </c>
      <c r="AE11" s="178" t="s">
        <v>71</v>
      </c>
      <c r="AF11" s="155">
        <v>0.0</v>
      </c>
      <c r="AG11" s="181">
        <v>1.0E8</v>
      </c>
      <c r="AH11" s="45">
        <f t="shared" si="10"/>
        <v>0</v>
      </c>
      <c r="AI11" s="236">
        <f t="shared" si="11"/>
        <v>1</v>
      </c>
      <c r="AJ11" s="167"/>
      <c r="AK11" s="148"/>
      <c r="AL11" s="29"/>
      <c r="AM11" s="29"/>
    </row>
    <row r="12" ht="16.5" customHeight="1">
      <c r="A12" s="239">
        <v>8.0</v>
      </c>
      <c r="B12" s="239" t="s">
        <v>74</v>
      </c>
      <c r="C12" s="31" t="s">
        <v>69</v>
      </c>
      <c r="D12" s="32" t="s">
        <v>70</v>
      </c>
      <c r="E12" s="33" t="s">
        <v>45</v>
      </c>
      <c r="F12" s="33" t="s">
        <v>46</v>
      </c>
      <c r="G12" s="33" t="s">
        <v>47</v>
      </c>
      <c r="H12" s="34">
        <v>43878.0</v>
      </c>
      <c r="I12" s="35" t="str">
        <f t="shared" si="1"/>
        <v>#REF!</v>
      </c>
      <c r="J12" s="36" t="s">
        <v>48</v>
      </c>
      <c r="K12" s="164">
        <v>44944.0</v>
      </c>
      <c r="L12" s="39">
        <v>2023.0</v>
      </c>
      <c r="M12" s="171" t="s">
        <v>55</v>
      </c>
      <c r="N12" s="41" t="s">
        <v>71</v>
      </c>
      <c r="O12" s="69">
        <v>7356025.0</v>
      </c>
      <c r="P12" s="43" t="s">
        <v>72</v>
      </c>
      <c r="Q12" s="44">
        <f t="shared" si="13"/>
        <v>7356025</v>
      </c>
      <c r="R12" s="43">
        <v>2.0E8</v>
      </c>
      <c r="S12" s="43">
        <v>2.0E8</v>
      </c>
      <c r="T12" s="45" t="s">
        <v>72</v>
      </c>
      <c r="U12" s="70" t="s">
        <v>73</v>
      </c>
      <c r="V12" s="240" t="s">
        <v>154</v>
      </c>
      <c r="W12" s="241">
        <v>44944.0</v>
      </c>
      <c r="X12" s="242"/>
      <c r="Y12" s="243">
        <v>0.0</v>
      </c>
      <c r="Z12" s="244">
        <v>7356025.0</v>
      </c>
      <c r="AA12" s="245">
        <f t="shared" si="5"/>
        <v>0</v>
      </c>
      <c r="AB12" s="246">
        <f t="shared" si="6"/>
        <v>0</v>
      </c>
      <c r="AC12" s="247">
        <v>2.0E8</v>
      </c>
      <c r="AD12" s="248">
        <f t="shared" si="8"/>
        <v>1</v>
      </c>
      <c r="AE12" s="178" t="s">
        <v>71</v>
      </c>
      <c r="AF12" s="155">
        <v>0.0</v>
      </c>
      <c r="AG12" s="181">
        <v>2.0E8</v>
      </c>
      <c r="AH12" s="45">
        <f t="shared" si="10"/>
        <v>0</v>
      </c>
      <c r="AI12" s="236">
        <f t="shared" si="11"/>
        <v>1</v>
      </c>
      <c r="AJ12" s="167"/>
      <c r="AK12" s="148"/>
      <c r="AL12" s="29"/>
      <c r="AM12" s="29"/>
    </row>
    <row r="13" ht="16.5" customHeight="1">
      <c r="A13" s="239">
        <v>1.0</v>
      </c>
      <c r="B13" s="239" t="s">
        <v>42</v>
      </c>
      <c r="C13" s="31" t="s">
        <v>43</v>
      </c>
      <c r="D13" s="32" t="s">
        <v>44</v>
      </c>
      <c r="E13" s="33" t="s">
        <v>45</v>
      </c>
      <c r="F13" s="33" t="s">
        <v>46</v>
      </c>
      <c r="G13" s="33" t="s">
        <v>47</v>
      </c>
      <c r="H13" s="34">
        <v>43451.0</v>
      </c>
      <c r="I13" s="35" t="str">
        <f t="shared" si="1"/>
        <v>#REF!</v>
      </c>
      <c r="J13" s="36" t="s">
        <v>48</v>
      </c>
      <c r="K13" s="149">
        <v>44528.0</v>
      </c>
      <c r="L13" s="39">
        <v>2021.0</v>
      </c>
      <c r="M13" s="150" t="s">
        <v>49</v>
      </c>
      <c r="N13" s="41" t="s">
        <v>50</v>
      </c>
      <c r="O13" s="42">
        <v>10000.0</v>
      </c>
      <c r="P13" s="43">
        <v>65.0</v>
      </c>
      <c r="Q13" s="44">
        <f t="shared" ref="Q13:Q17" si="14">O13+P13</f>
        <v>10065</v>
      </c>
      <c r="R13" s="43">
        <v>1530000.0</v>
      </c>
      <c r="S13" s="44">
        <f t="shared" ref="S13:S17" si="15">R13*P13</f>
        <v>99450000</v>
      </c>
      <c r="T13" s="45">
        <f t="shared" ref="T13:T17" si="16">P13/Q13</f>
        <v>0.006458022851</v>
      </c>
      <c r="U13" s="46">
        <f t="shared" ref="U13:U17" si="17">Q13*R13/100000000</f>
        <v>153.9945</v>
      </c>
      <c r="V13" s="151" t="s">
        <v>49</v>
      </c>
      <c r="W13" s="152">
        <v>44658.0</v>
      </c>
      <c r="X13" s="153">
        <v>1530000.0</v>
      </c>
      <c r="Y13" s="51">
        <v>65.0</v>
      </c>
      <c r="Z13" s="50">
        <v>10342.0</v>
      </c>
      <c r="AA13" s="52">
        <f t="shared" si="5"/>
        <v>0.006285051247</v>
      </c>
      <c r="AB13" s="53">
        <f t="shared" si="6"/>
        <v>158.2326</v>
      </c>
      <c r="AC13" s="54">
        <f t="shared" ref="AC13:AC17" si="18">X13*Y13</f>
        <v>99450000</v>
      </c>
      <c r="AD13" s="55">
        <f t="shared" si="8"/>
        <v>1</v>
      </c>
      <c r="AE13" s="154" t="s">
        <v>50</v>
      </c>
      <c r="AF13" s="155">
        <v>0.0</v>
      </c>
      <c r="AG13" s="44">
        <f>AC13*(1-AF13)</f>
        <v>99450000</v>
      </c>
      <c r="AH13" s="45">
        <f t="shared" si="10"/>
        <v>0</v>
      </c>
      <c r="AI13" s="236">
        <f t="shared" si="11"/>
        <v>1</v>
      </c>
      <c r="AJ13" s="156"/>
      <c r="AK13" s="163"/>
      <c r="AL13" s="29"/>
      <c r="AM13" s="29"/>
    </row>
    <row r="14" ht="16.5" customHeight="1">
      <c r="A14" s="249">
        <v>9.0</v>
      </c>
      <c r="B14" s="249" t="s">
        <v>75</v>
      </c>
      <c r="C14" s="31" t="s">
        <v>43</v>
      </c>
      <c r="D14" s="32" t="s">
        <v>76</v>
      </c>
      <c r="E14" s="33" t="s">
        <v>45</v>
      </c>
      <c r="F14" s="33" t="s">
        <v>46</v>
      </c>
      <c r="G14" s="33" t="s">
        <v>47</v>
      </c>
      <c r="H14" s="34">
        <v>43079.0</v>
      </c>
      <c r="I14" s="35" t="str">
        <f t="shared" si="1"/>
        <v>#REF!</v>
      </c>
      <c r="J14" s="36" t="s">
        <v>48</v>
      </c>
      <c r="K14" s="164">
        <v>44715.0</v>
      </c>
      <c r="L14" s="39">
        <v>2022.0</v>
      </c>
      <c r="M14" s="171" t="s">
        <v>62</v>
      </c>
      <c r="N14" s="41" t="s">
        <v>56</v>
      </c>
      <c r="O14" s="66">
        <v>583089.0</v>
      </c>
      <c r="P14" s="43">
        <v>3101.0</v>
      </c>
      <c r="Q14" s="44">
        <f t="shared" si="14"/>
        <v>586190</v>
      </c>
      <c r="R14" s="43">
        <v>32243.0</v>
      </c>
      <c r="S14" s="44">
        <f t="shared" si="15"/>
        <v>99985543</v>
      </c>
      <c r="T14" s="45">
        <f t="shared" si="16"/>
        <v>0.005290093656</v>
      </c>
      <c r="U14" s="46">
        <f t="shared" si="17"/>
        <v>189.0052417</v>
      </c>
      <c r="V14" s="166" t="s">
        <v>62</v>
      </c>
      <c r="W14" s="152">
        <v>45317.0</v>
      </c>
      <c r="X14" s="153">
        <v>34155.0</v>
      </c>
      <c r="Y14" s="51">
        <v>3101.0</v>
      </c>
      <c r="Z14" s="50">
        <v>661696.0</v>
      </c>
      <c r="AA14" s="52">
        <f t="shared" si="5"/>
        <v>0.004686442112</v>
      </c>
      <c r="AB14" s="53">
        <f t="shared" si="6"/>
        <v>226.0022688</v>
      </c>
      <c r="AC14" s="54">
        <f t="shared" si="18"/>
        <v>105914655</v>
      </c>
      <c r="AD14" s="55">
        <f t="shared" si="8"/>
        <v>1.059299693</v>
      </c>
      <c r="AE14" s="154" t="s">
        <v>56</v>
      </c>
      <c r="AF14" s="155">
        <v>0.0</v>
      </c>
      <c r="AG14" s="181">
        <v>0.0</v>
      </c>
      <c r="AH14" s="45">
        <f t="shared" si="10"/>
        <v>-1</v>
      </c>
      <c r="AI14" s="236">
        <f t="shared" si="11"/>
        <v>0</v>
      </c>
      <c r="AJ14" s="167"/>
      <c r="AK14" s="148"/>
      <c r="AL14" s="29"/>
      <c r="AM14" s="29"/>
    </row>
    <row r="15" ht="16.5" customHeight="1">
      <c r="A15" s="249">
        <v>10.0</v>
      </c>
      <c r="B15" s="249" t="s">
        <v>77</v>
      </c>
      <c r="C15" s="31" t="s">
        <v>43</v>
      </c>
      <c r="D15" s="32" t="s">
        <v>76</v>
      </c>
      <c r="E15" s="33" t="s">
        <v>45</v>
      </c>
      <c r="F15" s="33" t="s">
        <v>46</v>
      </c>
      <c r="G15" s="33" t="s">
        <v>47</v>
      </c>
      <c r="H15" s="34">
        <v>43079.0</v>
      </c>
      <c r="I15" s="35" t="str">
        <f t="shared" si="1"/>
        <v>#REF!</v>
      </c>
      <c r="J15" s="36" t="s">
        <v>48</v>
      </c>
      <c r="K15" s="164">
        <v>44936.0</v>
      </c>
      <c r="L15" s="39">
        <v>2023.0</v>
      </c>
      <c r="M15" s="171" t="s">
        <v>62</v>
      </c>
      <c r="N15" s="33" t="s">
        <v>56</v>
      </c>
      <c r="O15" s="66">
        <v>583089.0</v>
      </c>
      <c r="P15" s="43">
        <v>2482.0</v>
      </c>
      <c r="Q15" s="44">
        <f t="shared" si="14"/>
        <v>585571</v>
      </c>
      <c r="R15" s="43">
        <v>40304.0</v>
      </c>
      <c r="S15" s="44">
        <f t="shared" si="15"/>
        <v>100034528</v>
      </c>
      <c r="T15" s="45">
        <f t="shared" si="16"/>
        <v>0.004238597881</v>
      </c>
      <c r="U15" s="46">
        <f t="shared" si="17"/>
        <v>236.0085358</v>
      </c>
      <c r="V15" s="166" t="s">
        <v>62</v>
      </c>
      <c r="W15" s="152">
        <v>45317.0</v>
      </c>
      <c r="X15" s="153">
        <v>34155.0</v>
      </c>
      <c r="Y15" s="51">
        <v>2482.0</v>
      </c>
      <c r="Z15" s="50">
        <v>661696.0</v>
      </c>
      <c r="AA15" s="52">
        <f t="shared" si="5"/>
        <v>0.003750967212</v>
      </c>
      <c r="AB15" s="53">
        <f t="shared" si="6"/>
        <v>226.0022688</v>
      </c>
      <c r="AC15" s="54">
        <f t="shared" si="18"/>
        <v>84772710</v>
      </c>
      <c r="AD15" s="55">
        <f t="shared" si="8"/>
        <v>0.8474344978</v>
      </c>
      <c r="AE15" s="154" t="s">
        <v>56</v>
      </c>
      <c r="AF15" s="155">
        <v>0.0</v>
      </c>
      <c r="AG15" s="181">
        <v>0.0</v>
      </c>
      <c r="AH15" s="45">
        <f t="shared" si="10"/>
        <v>-1</v>
      </c>
      <c r="AI15" s="236">
        <f t="shared" si="11"/>
        <v>0</v>
      </c>
      <c r="AJ15" s="167"/>
      <c r="AK15" s="148"/>
      <c r="AL15" s="29"/>
      <c r="AM15" s="29"/>
    </row>
    <row r="16" ht="16.5" customHeight="1">
      <c r="A16" s="249">
        <v>13.0</v>
      </c>
      <c r="B16" s="249" t="s">
        <v>86</v>
      </c>
      <c r="C16" s="31" t="s">
        <v>64</v>
      </c>
      <c r="D16" s="33" t="s">
        <v>87</v>
      </c>
      <c r="E16" s="33" t="s">
        <v>45</v>
      </c>
      <c r="F16" s="33" t="s">
        <v>46</v>
      </c>
      <c r="G16" s="33" t="s">
        <v>47</v>
      </c>
      <c r="H16" s="34">
        <v>43343.0</v>
      </c>
      <c r="I16" s="35" t="str">
        <f t="shared" si="1"/>
        <v>#REF!</v>
      </c>
      <c r="J16" s="36" t="s">
        <v>48</v>
      </c>
      <c r="K16" s="164">
        <v>45107.0</v>
      </c>
      <c r="L16" s="39">
        <v>2023.0</v>
      </c>
      <c r="M16" s="171" t="s">
        <v>57</v>
      </c>
      <c r="N16" s="41" t="s">
        <v>56</v>
      </c>
      <c r="O16" s="42">
        <v>27683.0</v>
      </c>
      <c r="P16" s="43">
        <v>416.0</v>
      </c>
      <c r="Q16" s="44">
        <f t="shared" si="14"/>
        <v>28099</v>
      </c>
      <c r="R16" s="43">
        <v>722470.0</v>
      </c>
      <c r="S16" s="44">
        <f t="shared" si="15"/>
        <v>300547520</v>
      </c>
      <c r="T16" s="45">
        <f t="shared" si="16"/>
        <v>0.01480479732</v>
      </c>
      <c r="U16" s="46">
        <f t="shared" si="17"/>
        <v>203.0068453</v>
      </c>
      <c r="V16" s="166" t="s">
        <v>57</v>
      </c>
      <c r="W16" s="152">
        <v>45597.0</v>
      </c>
      <c r="X16" s="153">
        <v>327150.0</v>
      </c>
      <c r="Y16" s="51">
        <v>416.0</v>
      </c>
      <c r="Z16" s="50">
        <v>30568.0</v>
      </c>
      <c r="AA16" s="52">
        <f t="shared" si="5"/>
        <v>0.01360900288</v>
      </c>
      <c r="AB16" s="53">
        <f t="shared" si="6"/>
        <v>100.003212</v>
      </c>
      <c r="AC16" s="54">
        <f t="shared" si="18"/>
        <v>136094400</v>
      </c>
      <c r="AD16" s="55">
        <f t="shared" si="8"/>
        <v>0.4528215704</v>
      </c>
      <c r="AE16" s="154" t="s">
        <v>56</v>
      </c>
      <c r="AF16" s="155">
        <v>0.0</v>
      </c>
      <c r="AG16" s="181">
        <v>0.0</v>
      </c>
      <c r="AH16" s="45">
        <f t="shared" si="10"/>
        <v>-1</v>
      </c>
      <c r="AI16" s="236">
        <f t="shared" si="11"/>
        <v>0</v>
      </c>
      <c r="AJ16" s="167"/>
      <c r="AK16" s="148"/>
      <c r="AL16" s="29"/>
      <c r="AM16" s="29"/>
    </row>
    <row r="17" ht="16.5" customHeight="1">
      <c r="A17" s="249">
        <v>14.0</v>
      </c>
      <c r="B17" s="249" t="s">
        <v>92</v>
      </c>
      <c r="C17" s="31" t="s">
        <v>64</v>
      </c>
      <c r="D17" s="33" t="s">
        <v>87</v>
      </c>
      <c r="E17" s="33" t="s">
        <v>45</v>
      </c>
      <c r="F17" s="33" t="s">
        <v>46</v>
      </c>
      <c r="G17" s="33" t="s">
        <v>47</v>
      </c>
      <c r="H17" s="34">
        <v>43343.0</v>
      </c>
      <c r="I17" s="35" t="str">
        <f t="shared" si="1"/>
        <v>#REF!</v>
      </c>
      <c r="J17" s="36" t="s">
        <v>48</v>
      </c>
      <c r="K17" s="164">
        <v>45254.0</v>
      </c>
      <c r="L17" s="39">
        <v>2023.0</v>
      </c>
      <c r="M17" s="171" t="s">
        <v>57</v>
      </c>
      <c r="N17" s="41" t="s">
        <v>56</v>
      </c>
      <c r="O17" s="42">
        <v>28099.0</v>
      </c>
      <c r="P17" s="43">
        <v>139.0</v>
      </c>
      <c r="Q17" s="44">
        <f t="shared" si="14"/>
        <v>28238</v>
      </c>
      <c r="R17" s="43">
        <v>722470.0</v>
      </c>
      <c r="S17" s="44">
        <f t="shared" si="15"/>
        <v>100423330</v>
      </c>
      <c r="T17" s="45">
        <f t="shared" si="16"/>
        <v>0.004922444932</v>
      </c>
      <c r="U17" s="46">
        <f t="shared" si="17"/>
        <v>204.0110786</v>
      </c>
      <c r="V17" s="166" t="s">
        <v>57</v>
      </c>
      <c r="W17" s="152">
        <v>45597.0</v>
      </c>
      <c r="X17" s="153">
        <v>327150.0</v>
      </c>
      <c r="Y17" s="51">
        <v>139.0</v>
      </c>
      <c r="Z17" s="50">
        <v>30568.0</v>
      </c>
      <c r="AA17" s="52">
        <f t="shared" si="5"/>
        <v>0.004547238943</v>
      </c>
      <c r="AB17" s="53">
        <f t="shared" si="6"/>
        <v>100.003212</v>
      </c>
      <c r="AC17" s="54">
        <f t="shared" si="18"/>
        <v>45473850</v>
      </c>
      <c r="AD17" s="55">
        <f t="shared" si="8"/>
        <v>0.4528215704</v>
      </c>
      <c r="AE17" s="154" t="s">
        <v>56</v>
      </c>
      <c r="AF17" s="155">
        <v>0.0</v>
      </c>
      <c r="AG17" s="181">
        <v>0.0</v>
      </c>
      <c r="AH17" s="45">
        <f t="shared" si="10"/>
        <v>-1</v>
      </c>
      <c r="AI17" s="236">
        <f t="shared" si="11"/>
        <v>0</v>
      </c>
      <c r="AJ17" s="167"/>
      <c r="AK17" s="148"/>
      <c r="AL17" s="29"/>
      <c r="AM17" s="29"/>
    </row>
    <row r="18" ht="16.5" customHeight="1">
      <c r="A18" s="249">
        <v>12.0</v>
      </c>
      <c r="B18" s="249" t="s">
        <v>81</v>
      </c>
      <c r="C18" s="31" t="s">
        <v>64</v>
      </c>
      <c r="D18" s="32" t="s">
        <v>82</v>
      </c>
      <c r="E18" s="33" t="s">
        <v>45</v>
      </c>
      <c r="F18" s="33" t="s">
        <v>46</v>
      </c>
      <c r="G18" s="33" t="s">
        <v>47</v>
      </c>
      <c r="H18" s="34">
        <v>44568.0</v>
      </c>
      <c r="I18" s="35" t="str">
        <f t="shared" si="1"/>
        <v>#REF!</v>
      </c>
      <c r="J18" s="36" t="s">
        <v>48</v>
      </c>
      <c r="K18" s="164">
        <v>44694.0</v>
      </c>
      <c r="L18" s="39">
        <v>2022.0</v>
      </c>
      <c r="M18" s="171" t="s">
        <v>55</v>
      </c>
      <c r="N18" s="41" t="s">
        <v>71</v>
      </c>
      <c r="O18" s="69"/>
      <c r="P18" s="43"/>
      <c r="Q18" s="44"/>
      <c r="R18" s="43">
        <v>1.0E8</v>
      </c>
      <c r="S18" s="43">
        <v>1.0E8</v>
      </c>
      <c r="T18" s="45"/>
      <c r="U18" s="69" t="s">
        <v>84</v>
      </c>
      <c r="V18" s="185" t="s">
        <v>55</v>
      </c>
      <c r="W18" s="152" t="s">
        <v>54</v>
      </c>
      <c r="X18" s="153">
        <v>1.0E8</v>
      </c>
      <c r="Y18" s="51" t="s">
        <v>72</v>
      </c>
      <c r="Z18" s="186" t="s">
        <v>54</v>
      </c>
      <c r="AA18" s="125" t="s">
        <v>128</v>
      </c>
      <c r="AB18" s="76" t="s">
        <v>84</v>
      </c>
      <c r="AC18" s="50">
        <v>1.0E8</v>
      </c>
      <c r="AD18" s="55">
        <f t="shared" si="8"/>
        <v>1</v>
      </c>
      <c r="AE18" s="154" t="s">
        <v>71</v>
      </c>
      <c r="AF18" s="155">
        <v>0.0</v>
      </c>
      <c r="AG18" s="181">
        <v>0.0</v>
      </c>
      <c r="AH18" s="45">
        <f t="shared" si="10"/>
        <v>-1</v>
      </c>
      <c r="AI18" s="236">
        <f t="shared" si="11"/>
        <v>0</v>
      </c>
      <c r="AJ18" s="156"/>
      <c r="AK18" s="148"/>
      <c r="AL18" s="29"/>
      <c r="AM18" s="29"/>
    </row>
    <row r="19" ht="16.5" customHeight="1">
      <c r="A19" s="249">
        <v>11.0</v>
      </c>
      <c r="B19" s="249" t="s">
        <v>78</v>
      </c>
      <c r="C19" s="31" t="s">
        <v>64</v>
      </c>
      <c r="D19" s="32" t="s">
        <v>79</v>
      </c>
      <c r="E19" s="33" t="s">
        <v>45</v>
      </c>
      <c r="F19" s="33" t="s">
        <v>46</v>
      </c>
      <c r="G19" s="33" t="s">
        <v>47</v>
      </c>
      <c r="H19" s="34">
        <v>43763.0</v>
      </c>
      <c r="I19" s="35" t="str">
        <f t="shared" si="1"/>
        <v>#REF!</v>
      </c>
      <c r="J19" s="36" t="s">
        <v>48</v>
      </c>
      <c r="K19" s="164">
        <v>44683.0</v>
      </c>
      <c r="L19" s="39">
        <v>2022.0</v>
      </c>
      <c r="M19" s="171" t="s">
        <v>55</v>
      </c>
      <c r="N19" s="41" t="s">
        <v>56</v>
      </c>
      <c r="O19" s="42">
        <v>100000.0</v>
      </c>
      <c r="P19" s="43">
        <v>3705.0</v>
      </c>
      <c r="Q19" s="44">
        <f>O19+P19</f>
        <v>103705</v>
      </c>
      <c r="R19" s="43">
        <v>27000.0</v>
      </c>
      <c r="S19" s="44">
        <f>R19*P19</f>
        <v>100035000</v>
      </c>
      <c r="T19" s="45">
        <f>P19/Q19</f>
        <v>0.03572633914</v>
      </c>
      <c r="U19" s="46">
        <f>Q19*R19/100000000</f>
        <v>28.00035</v>
      </c>
      <c r="V19" s="166" t="s">
        <v>54</v>
      </c>
      <c r="W19" s="152">
        <v>44684.0</v>
      </c>
      <c r="X19" s="153">
        <v>27000.0</v>
      </c>
      <c r="Y19" s="51">
        <v>3705.0</v>
      </c>
      <c r="Z19" s="50">
        <v>103705.0</v>
      </c>
      <c r="AA19" s="52">
        <f>Y19/Z19</f>
        <v>0.03572633914</v>
      </c>
      <c r="AB19" s="53">
        <f>Z19*X19/100000000</f>
        <v>28.00035</v>
      </c>
      <c r="AC19" s="54">
        <f>X19*Y19</f>
        <v>100035000</v>
      </c>
      <c r="AD19" s="55">
        <f t="shared" si="8"/>
        <v>1</v>
      </c>
      <c r="AE19" s="154" t="s">
        <v>56</v>
      </c>
      <c r="AF19" s="155">
        <v>0.0</v>
      </c>
      <c r="AG19" s="181">
        <v>0.0</v>
      </c>
      <c r="AH19" s="45">
        <f t="shared" si="10"/>
        <v>-1</v>
      </c>
      <c r="AI19" s="250">
        <f t="shared" si="11"/>
        <v>0</v>
      </c>
      <c r="AJ19" s="156"/>
      <c r="AK19" s="148"/>
      <c r="AL19" s="29"/>
      <c r="AM19" s="29"/>
    </row>
    <row r="20">
      <c r="S20" s="251">
        <f>sum(S4:S19)</f>
        <v>2302227971</v>
      </c>
      <c r="AC20" s="252">
        <f>sum(AC4:AC19)</f>
        <v>4276132451</v>
      </c>
      <c r="AG20" s="251">
        <f>sum(AG4:AG19)</f>
        <v>3703841836</v>
      </c>
      <c r="AI20" s="253">
        <f t="shared" si="11"/>
        <v>1.608807591</v>
      </c>
    </row>
    <row r="35" ht="16.5" customHeight="1">
      <c r="A35" s="8"/>
      <c r="B35" s="97"/>
      <c r="C35" s="79"/>
      <c r="D35" s="79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29"/>
      <c r="AL35" s="29"/>
      <c r="AM35" s="29"/>
    </row>
    <row r="36" ht="16.5" customHeight="1">
      <c r="A36" s="8"/>
      <c r="B36" s="97"/>
      <c r="C36" s="79"/>
      <c r="D36" s="7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29"/>
      <c r="AL36" s="29"/>
      <c r="AM36" s="29"/>
    </row>
    <row r="37" ht="16.5" customHeight="1">
      <c r="A37" s="8"/>
      <c r="B37" s="97"/>
      <c r="C37" s="79"/>
      <c r="D37" s="79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29"/>
      <c r="AL37" s="29"/>
      <c r="AM37" s="29"/>
    </row>
    <row r="38" ht="16.5" customHeight="1">
      <c r="A38" s="8"/>
      <c r="B38" s="97"/>
      <c r="C38" s="79"/>
      <c r="D38" s="79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29"/>
      <c r="AL38" s="29"/>
      <c r="AM38" s="29"/>
    </row>
    <row r="39" ht="16.5" customHeight="1">
      <c r="A39" s="8"/>
      <c r="B39" s="97"/>
      <c r="C39" s="79"/>
      <c r="D39" s="7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29"/>
      <c r="AL39" s="29"/>
      <c r="AM39" s="29"/>
    </row>
    <row r="40" ht="16.5" customHeight="1">
      <c r="A40" s="8"/>
      <c r="B40" s="97"/>
      <c r="C40" s="79"/>
      <c r="D40" s="7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29"/>
      <c r="AL40" s="29"/>
      <c r="AM40" s="29"/>
    </row>
    <row r="41" ht="16.5" customHeight="1">
      <c r="A41" s="8"/>
      <c r="B41" s="97"/>
      <c r="C41" s="79"/>
      <c r="D41" s="7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29"/>
      <c r="AL41" s="29"/>
      <c r="AM41" s="29"/>
    </row>
    <row r="42" ht="16.5" customHeight="1">
      <c r="A42" s="8"/>
      <c r="B42" s="97"/>
      <c r="C42" s="79"/>
      <c r="D42" s="79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29"/>
      <c r="AL42" s="29"/>
      <c r="AM42" s="29"/>
    </row>
    <row r="43" ht="16.5" customHeight="1">
      <c r="A43" s="8"/>
      <c r="B43" s="97"/>
      <c r="C43" s="79"/>
      <c r="D43" s="7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29"/>
      <c r="AL43" s="29"/>
      <c r="AM43" s="29"/>
    </row>
    <row r="44" ht="16.5" customHeight="1">
      <c r="A44" s="8"/>
      <c r="B44" s="97"/>
      <c r="C44" s="79"/>
      <c r="D44" s="7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29"/>
      <c r="AL44" s="29"/>
      <c r="AM44" s="29"/>
    </row>
    <row r="45" ht="16.5" customHeight="1">
      <c r="A45" s="8"/>
      <c r="B45" s="97"/>
      <c r="C45" s="79"/>
      <c r="D45" s="7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29"/>
      <c r="AL45" s="29"/>
      <c r="AM45" s="29"/>
    </row>
    <row r="46" ht="16.5" customHeight="1">
      <c r="A46" s="8"/>
      <c r="B46" s="97"/>
      <c r="C46" s="79"/>
      <c r="D46" s="79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29"/>
      <c r="AL46" s="29"/>
      <c r="AM46" s="29"/>
    </row>
    <row r="47" ht="16.5" customHeight="1">
      <c r="A47" s="8"/>
      <c r="B47" s="97"/>
      <c r="C47" s="79"/>
      <c r="D47" s="79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29"/>
      <c r="AL47" s="29"/>
      <c r="AM47" s="29"/>
    </row>
    <row r="48" ht="16.5" customHeight="1">
      <c r="A48" s="8"/>
      <c r="B48" s="97"/>
      <c r="C48" s="79"/>
      <c r="D48" s="79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29"/>
      <c r="AL48" s="29"/>
      <c r="AM48" s="29"/>
    </row>
    <row r="49" ht="16.5" customHeight="1">
      <c r="A49" s="8"/>
      <c r="B49" s="97"/>
      <c r="C49" s="79"/>
      <c r="D49" s="7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29"/>
      <c r="AL49" s="29"/>
      <c r="AM49" s="29"/>
    </row>
    <row r="50" ht="16.5" customHeight="1">
      <c r="A50" s="8"/>
      <c r="B50" s="97"/>
      <c r="C50" s="79"/>
      <c r="D50" s="7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29"/>
      <c r="AL50" s="29"/>
      <c r="AM50" s="29"/>
    </row>
    <row r="51" ht="16.5" customHeight="1">
      <c r="A51" s="8"/>
      <c r="B51" s="97"/>
      <c r="C51" s="79"/>
      <c r="D51" s="7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29"/>
      <c r="AL51" s="29"/>
      <c r="AM51" s="29"/>
    </row>
    <row r="52" ht="16.5" customHeight="1">
      <c r="A52" s="8"/>
      <c r="B52" s="97"/>
      <c r="C52" s="79"/>
      <c r="D52" s="79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29"/>
      <c r="AL52" s="29"/>
      <c r="AM52" s="29"/>
    </row>
    <row r="53" ht="16.5" customHeight="1">
      <c r="A53" s="8"/>
      <c r="B53" s="97"/>
      <c r="C53" s="79"/>
      <c r="D53" s="79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29"/>
      <c r="AL53" s="29"/>
      <c r="AM53" s="29"/>
    </row>
    <row r="54" ht="16.5" customHeight="1">
      <c r="A54" s="8"/>
      <c r="B54" s="97"/>
      <c r="C54" s="79"/>
      <c r="D54" s="7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29"/>
      <c r="AL54" s="29"/>
      <c r="AM54" s="29"/>
    </row>
    <row r="55" ht="16.5" customHeight="1">
      <c r="A55" s="8"/>
      <c r="B55" s="97"/>
      <c r="C55" s="79"/>
      <c r="D55" s="7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29"/>
      <c r="AL55" s="29"/>
      <c r="AM55" s="29"/>
    </row>
    <row r="56" ht="16.5" customHeight="1">
      <c r="A56" s="8"/>
      <c r="B56" s="97"/>
      <c r="C56" s="79"/>
      <c r="D56" s="79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29"/>
      <c r="AL56" s="29"/>
      <c r="AM56" s="29"/>
    </row>
    <row r="57" ht="16.5" customHeight="1">
      <c r="A57" s="8"/>
      <c r="B57" s="97"/>
      <c r="C57" s="79"/>
      <c r="D57" s="7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29"/>
      <c r="AL57" s="29"/>
      <c r="AM57" s="29"/>
    </row>
    <row r="58" ht="16.5" customHeight="1">
      <c r="A58" s="8"/>
      <c r="B58" s="97"/>
      <c r="C58" s="79"/>
      <c r="D58" s="7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29"/>
      <c r="AL58" s="29"/>
      <c r="AM58" s="29"/>
    </row>
    <row r="59" ht="16.5" customHeight="1">
      <c r="A59" s="8"/>
      <c r="B59" s="97"/>
      <c r="C59" s="79"/>
      <c r="D59" s="79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29"/>
      <c r="AL59" s="29"/>
      <c r="AM59" s="29"/>
    </row>
    <row r="60" ht="16.5" customHeight="1">
      <c r="A60" s="8"/>
      <c r="B60" s="97"/>
      <c r="C60" s="79"/>
      <c r="D60" s="79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29"/>
      <c r="AL60" s="29"/>
      <c r="AM60" s="29"/>
    </row>
    <row r="61" ht="16.5" customHeight="1">
      <c r="A61" s="8"/>
      <c r="B61" s="97"/>
      <c r="C61" s="79"/>
      <c r="D61" s="79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29"/>
      <c r="AL61" s="29"/>
      <c r="AM61" s="29"/>
    </row>
    <row r="62" ht="16.5" customHeight="1">
      <c r="A62" s="8"/>
      <c r="B62" s="97"/>
      <c r="C62" s="79"/>
      <c r="D62" s="79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29"/>
      <c r="AL62" s="29"/>
      <c r="AM62" s="29"/>
    </row>
    <row r="63" ht="16.5" customHeight="1">
      <c r="A63" s="8"/>
      <c r="B63" s="97"/>
      <c r="C63" s="79"/>
      <c r="D63" s="79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29"/>
      <c r="AL63" s="29"/>
      <c r="AM63" s="29"/>
    </row>
    <row r="64" ht="16.5" customHeight="1">
      <c r="A64" s="8"/>
      <c r="B64" s="97"/>
      <c r="C64" s="79"/>
      <c r="D64" s="79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29"/>
      <c r="AL64" s="29"/>
      <c r="AM64" s="29"/>
    </row>
    <row r="65" ht="16.5" customHeight="1">
      <c r="A65" s="8"/>
      <c r="B65" s="97"/>
      <c r="C65" s="79"/>
      <c r="D65" s="79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29"/>
      <c r="AL65" s="29"/>
      <c r="AM65" s="29"/>
    </row>
    <row r="66" ht="16.5" customHeight="1">
      <c r="A66" s="8"/>
      <c r="B66" s="97"/>
      <c r="C66" s="79"/>
      <c r="D66" s="79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29"/>
      <c r="AL66" s="29"/>
      <c r="AM66" s="29"/>
    </row>
    <row r="67" ht="16.5" customHeight="1">
      <c r="A67" s="8"/>
      <c r="B67" s="97"/>
      <c r="C67" s="79"/>
      <c r="D67" s="79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29"/>
      <c r="AL67" s="29"/>
      <c r="AM67" s="29"/>
    </row>
    <row r="68" ht="16.5" customHeight="1">
      <c r="A68" s="8"/>
      <c r="B68" s="97"/>
      <c r="C68" s="79"/>
      <c r="D68" s="79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29"/>
      <c r="AL68" s="29"/>
      <c r="AM68" s="29"/>
    </row>
    <row r="69" ht="16.5" customHeight="1">
      <c r="A69" s="8"/>
      <c r="B69" s="97"/>
      <c r="C69" s="79"/>
      <c r="D69" s="79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29"/>
      <c r="AL69" s="29"/>
      <c r="AM69" s="29"/>
    </row>
    <row r="70" ht="16.5" customHeight="1">
      <c r="A70" s="8"/>
      <c r="B70" s="97"/>
      <c r="C70" s="79"/>
      <c r="D70" s="79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29"/>
      <c r="AL70" s="29"/>
      <c r="AM70" s="29"/>
    </row>
    <row r="71" ht="16.5" customHeight="1">
      <c r="A71" s="8"/>
      <c r="B71" s="97"/>
      <c r="C71" s="79"/>
      <c r="D71" s="79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29"/>
      <c r="AL71" s="29"/>
      <c r="AM71" s="29"/>
    </row>
    <row r="72" ht="16.5" customHeight="1">
      <c r="A72" s="8"/>
      <c r="B72" s="97"/>
      <c r="C72" s="79"/>
      <c r="D72" s="79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29"/>
      <c r="AL72" s="29"/>
      <c r="AM72" s="29"/>
    </row>
    <row r="73" ht="16.5" customHeight="1">
      <c r="A73" s="8"/>
      <c r="B73" s="97"/>
      <c r="C73" s="79"/>
      <c r="D73" s="79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29"/>
      <c r="AL73" s="29"/>
      <c r="AM73" s="29"/>
    </row>
    <row r="74" ht="16.5" customHeight="1">
      <c r="A74" s="8"/>
      <c r="B74" s="97"/>
      <c r="C74" s="79"/>
      <c r="D74" s="7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29"/>
      <c r="AL74" s="29"/>
      <c r="AM74" s="29"/>
    </row>
    <row r="75" ht="16.5" customHeight="1">
      <c r="A75" s="8"/>
      <c r="B75" s="97"/>
      <c r="C75" s="79"/>
      <c r="D75" s="79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29"/>
      <c r="AL75" s="29"/>
      <c r="AM75" s="29"/>
    </row>
    <row r="76" ht="16.5" customHeight="1">
      <c r="A76" s="8"/>
      <c r="B76" s="97"/>
      <c r="C76" s="79"/>
      <c r="D76" s="79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29"/>
      <c r="AL76" s="29"/>
      <c r="AM76" s="29"/>
    </row>
    <row r="77" ht="16.5" customHeight="1">
      <c r="A77" s="8"/>
      <c r="B77" s="97"/>
      <c r="C77" s="79"/>
      <c r="D77" s="79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29"/>
      <c r="AL77" s="29"/>
      <c r="AM77" s="29"/>
    </row>
    <row r="78" ht="16.5" customHeight="1">
      <c r="A78" s="8"/>
      <c r="B78" s="97"/>
      <c r="C78" s="79"/>
      <c r="D78" s="79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29"/>
      <c r="AL78" s="29"/>
      <c r="AM78" s="29"/>
    </row>
    <row r="79" ht="16.5" customHeight="1">
      <c r="A79" s="8"/>
      <c r="B79" s="97"/>
      <c r="C79" s="79"/>
      <c r="D79" s="79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29"/>
      <c r="AL79" s="29"/>
      <c r="AM79" s="29"/>
    </row>
    <row r="80" ht="16.5" customHeight="1">
      <c r="A80" s="8"/>
      <c r="B80" s="97"/>
      <c r="C80" s="79"/>
      <c r="D80" s="79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29"/>
      <c r="AL80" s="29"/>
      <c r="AM80" s="29"/>
    </row>
    <row r="81" ht="16.5" customHeight="1">
      <c r="A81" s="8"/>
      <c r="B81" s="97"/>
      <c r="C81" s="79"/>
      <c r="D81" s="7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29"/>
      <c r="AL81" s="29"/>
      <c r="AM81" s="29"/>
    </row>
    <row r="82" ht="16.5" customHeight="1">
      <c r="A82" s="8"/>
      <c r="B82" s="97"/>
      <c r="C82" s="79"/>
      <c r="D82" s="79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29"/>
      <c r="AL82" s="29"/>
      <c r="AM82" s="29"/>
    </row>
    <row r="83" ht="16.5" customHeight="1">
      <c r="A83" s="8"/>
      <c r="B83" s="97"/>
      <c r="C83" s="79"/>
      <c r="D83" s="79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29"/>
      <c r="AL83" s="29"/>
      <c r="AM83" s="29"/>
    </row>
    <row r="84" ht="16.5" customHeight="1">
      <c r="A84" s="8"/>
      <c r="B84" s="97"/>
      <c r="C84" s="79"/>
      <c r="D84" s="79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29"/>
      <c r="AL84" s="29"/>
      <c r="AM84" s="29"/>
    </row>
    <row r="85" ht="16.5" customHeight="1">
      <c r="A85" s="8"/>
      <c r="B85" s="97"/>
      <c r="C85" s="79"/>
      <c r="D85" s="79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29"/>
      <c r="AL85" s="29"/>
      <c r="AM85" s="29"/>
    </row>
    <row r="86" ht="16.5" customHeight="1">
      <c r="A86" s="8"/>
      <c r="B86" s="97"/>
      <c r="C86" s="79"/>
      <c r="D86" s="79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29"/>
      <c r="AL86" s="29"/>
      <c r="AM86" s="29"/>
    </row>
    <row r="87" ht="16.5" customHeight="1">
      <c r="A87" s="8"/>
      <c r="B87" s="97"/>
      <c r="C87" s="79"/>
      <c r="D87" s="79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29"/>
      <c r="AL87" s="29"/>
      <c r="AM87" s="29"/>
    </row>
    <row r="88" ht="16.5" customHeight="1">
      <c r="A88" s="8"/>
      <c r="B88" s="97"/>
      <c r="C88" s="79"/>
      <c r="D88" s="79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29"/>
      <c r="AL88" s="29"/>
      <c r="AM88" s="29"/>
    </row>
    <row r="89" ht="16.5" customHeight="1">
      <c r="A89" s="8"/>
      <c r="B89" s="97"/>
      <c r="C89" s="79"/>
      <c r="D89" s="79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29"/>
      <c r="AL89" s="29"/>
      <c r="AM89" s="29"/>
    </row>
    <row r="90" ht="16.5" customHeight="1">
      <c r="A90" s="8"/>
      <c r="B90" s="97"/>
      <c r="C90" s="79"/>
      <c r="D90" s="79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29"/>
      <c r="AL90" s="29"/>
      <c r="AM90" s="29"/>
    </row>
    <row r="91" ht="16.5" customHeight="1">
      <c r="A91" s="8"/>
      <c r="B91" s="97"/>
      <c r="C91" s="79"/>
      <c r="D91" s="79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29"/>
      <c r="AL91" s="29"/>
      <c r="AM91" s="29"/>
    </row>
    <row r="92" ht="16.5" customHeight="1">
      <c r="A92" s="8"/>
      <c r="B92" s="97"/>
      <c r="C92" s="79"/>
      <c r="D92" s="79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29"/>
      <c r="AL92" s="29"/>
      <c r="AM92" s="29"/>
    </row>
    <row r="93" ht="16.5" customHeight="1">
      <c r="A93" s="8"/>
      <c r="B93" s="97"/>
      <c r="C93" s="79"/>
      <c r="D93" s="79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29"/>
      <c r="AL93" s="29"/>
      <c r="AM93" s="29"/>
    </row>
    <row r="94" ht="16.5" customHeight="1">
      <c r="A94" s="8"/>
      <c r="B94" s="97"/>
      <c r="C94" s="79"/>
      <c r="D94" s="79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29"/>
      <c r="AL94" s="29"/>
      <c r="AM94" s="29"/>
    </row>
    <row r="95" ht="16.5" customHeight="1">
      <c r="A95" s="8"/>
      <c r="B95" s="97"/>
      <c r="C95" s="79"/>
      <c r="D95" s="79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29"/>
      <c r="AL95" s="29"/>
      <c r="AM95" s="29"/>
    </row>
    <row r="96" ht="16.5" customHeight="1">
      <c r="A96" s="8"/>
      <c r="B96" s="97"/>
      <c r="C96" s="79"/>
      <c r="D96" s="79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29"/>
      <c r="AL96" s="29"/>
      <c r="AM96" s="29"/>
    </row>
    <row r="97" ht="16.5" customHeight="1">
      <c r="A97" s="8"/>
      <c r="B97" s="97"/>
      <c r="C97" s="79"/>
      <c r="D97" s="79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29"/>
      <c r="AL97" s="29"/>
      <c r="AM97" s="29"/>
    </row>
    <row r="98" ht="16.5" customHeight="1">
      <c r="A98" s="8"/>
      <c r="B98" s="97"/>
      <c r="C98" s="79"/>
      <c r="D98" s="79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29"/>
      <c r="AL98" s="29"/>
      <c r="AM98" s="29"/>
    </row>
    <row r="99" ht="16.5" customHeight="1">
      <c r="A99" s="8"/>
      <c r="B99" s="97"/>
      <c r="C99" s="79"/>
      <c r="D99" s="79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29"/>
      <c r="AL99" s="29"/>
      <c r="AM99" s="29"/>
    </row>
    <row r="100" ht="16.5" customHeight="1">
      <c r="A100" s="8"/>
      <c r="B100" s="97"/>
      <c r="C100" s="79"/>
      <c r="D100" s="79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29"/>
      <c r="AL100" s="29"/>
      <c r="AM100" s="29"/>
    </row>
    <row r="101" ht="16.5" customHeight="1">
      <c r="A101" s="8"/>
      <c r="B101" s="97"/>
      <c r="C101" s="79"/>
      <c r="D101" s="79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29"/>
      <c r="AL101" s="29"/>
      <c r="AM101" s="29"/>
    </row>
    <row r="102" ht="16.5" customHeight="1">
      <c r="A102" s="8"/>
      <c r="B102" s="97"/>
      <c r="C102" s="79"/>
      <c r="D102" s="79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29"/>
      <c r="AL102" s="29"/>
      <c r="AM102" s="29"/>
    </row>
    <row r="103" ht="16.5" customHeight="1">
      <c r="A103" s="8"/>
      <c r="B103" s="97"/>
      <c r="C103" s="79"/>
      <c r="D103" s="79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29"/>
      <c r="AL103" s="29"/>
      <c r="AM103" s="29"/>
    </row>
    <row r="104" ht="16.5" customHeight="1">
      <c r="A104" s="8"/>
      <c r="B104" s="97"/>
      <c r="C104" s="79"/>
      <c r="D104" s="79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29"/>
      <c r="AL104" s="29"/>
      <c r="AM104" s="29"/>
    </row>
    <row r="105" ht="16.5" customHeight="1">
      <c r="A105" s="8"/>
      <c r="B105" s="97"/>
      <c r="C105" s="79"/>
      <c r="D105" s="79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29"/>
      <c r="AL105" s="29"/>
      <c r="AM105" s="29"/>
    </row>
    <row r="106" ht="16.5" customHeight="1">
      <c r="A106" s="8"/>
      <c r="B106" s="97"/>
      <c r="C106" s="79"/>
      <c r="D106" s="79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29"/>
      <c r="AL106" s="29"/>
      <c r="AM106" s="29"/>
    </row>
    <row r="107" ht="16.5" customHeight="1">
      <c r="A107" s="8"/>
      <c r="B107" s="97"/>
      <c r="C107" s="79"/>
      <c r="D107" s="79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29"/>
      <c r="AL107" s="29"/>
      <c r="AM107" s="29"/>
    </row>
    <row r="108" ht="16.5" customHeight="1">
      <c r="A108" s="8"/>
      <c r="B108" s="97"/>
      <c r="C108" s="79"/>
      <c r="D108" s="79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29"/>
      <c r="AL108" s="29"/>
      <c r="AM108" s="29"/>
    </row>
    <row r="109" ht="16.5" customHeight="1">
      <c r="A109" s="8"/>
      <c r="B109" s="97"/>
      <c r="C109" s="79"/>
      <c r="D109" s="79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29"/>
      <c r="AL109" s="29"/>
      <c r="AM109" s="29"/>
    </row>
    <row r="110" ht="16.5" customHeight="1">
      <c r="A110" s="8"/>
      <c r="B110" s="97"/>
      <c r="C110" s="79"/>
      <c r="D110" s="79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29"/>
      <c r="AL110" s="29"/>
      <c r="AM110" s="29"/>
    </row>
    <row r="111" ht="16.5" customHeight="1">
      <c r="A111" s="8"/>
      <c r="B111" s="97"/>
      <c r="C111" s="79"/>
      <c r="D111" s="79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29"/>
      <c r="AL111" s="29"/>
      <c r="AM111" s="29"/>
    </row>
    <row r="112" ht="16.5" customHeight="1">
      <c r="A112" s="8"/>
      <c r="B112" s="97"/>
      <c r="C112" s="79"/>
      <c r="D112" s="79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29"/>
      <c r="AL112" s="29"/>
      <c r="AM112" s="29"/>
    </row>
    <row r="113" ht="16.5" customHeight="1">
      <c r="A113" s="8"/>
      <c r="B113" s="97"/>
      <c r="C113" s="79"/>
      <c r="D113" s="79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29"/>
      <c r="AL113" s="29"/>
      <c r="AM113" s="29"/>
    </row>
    <row r="114" ht="16.5" customHeight="1">
      <c r="A114" s="8"/>
      <c r="B114" s="97"/>
      <c r="C114" s="79"/>
      <c r="D114" s="79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29"/>
      <c r="AL114" s="29"/>
      <c r="AM114" s="29"/>
    </row>
    <row r="115" ht="16.5" customHeight="1">
      <c r="A115" s="8"/>
      <c r="B115" s="97"/>
      <c r="C115" s="79"/>
      <c r="D115" s="79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29"/>
      <c r="AL115" s="29"/>
      <c r="AM115" s="29"/>
    </row>
    <row r="116" ht="16.5" customHeight="1">
      <c r="A116" s="8"/>
      <c r="B116" s="97"/>
      <c r="C116" s="79"/>
      <c r="D116" s="79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29"/>
      <c r="AL116" s="29"/>
      <c r="AM116" s="29"/>
    </row>
    <row r="117" ht="16.5" customHeight="1">
      <c r="A117" s="8"/>
      <c r="B117" s="97"/>
      <c r="C117" s="79"/>
      <c r="D117" s="79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29"/>
      <c r="AL117" s="29"/>
      <c r="AM117" s="29"/>
    </row>
    <row r="118" ht="16.5" customHeight="1">
      <c r="A118" s="8"/>
      <c r="B118" s="97"/>
      <c r="C118" s="79"/>
      <c r="D118" s="79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29"/>
      <c r="AL118" s="29"/>
      <c r="AM118" s="29"/>
    </row>
    <row r="119" ht="16.5" customHeight="1">
      <c r="A119" s="8"/>
      <c r="B119" s="97"/>
      <c r="C119" s="79"/>
      <c r="D119" s="79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29"/>
      <c r="AL119" s="29"/>
      <c r="AM119" s="29"/>
    </row>
    <row r="120" ht="16.5" customHeight="1">
      <c r="A120" s="8"/>
      <c r="B120" s="97"/>
      <c r="C120" s="79"/>
      <c r="D120" s="79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29"/>
      <c r="AL120" s="29"/>
      <c r="AM120" s="29"/>
    </row>
    <row r="121" ht="16.5" customHeight="1">
      <c r="A121" s="8"/>
      <c r="B121" s="97"/>
      <c r="C121" s="79"/>
      <c r="D121" s="79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29"/>
      <c r="AL121" s="29"/>
      <c r="AM121" s="29"/>
    </row>
    <row r="122" ht="16.5" customHeight="1">
      <c r="A122" s="8"/>
      <c r="B122" s="97"/>
      <c r="C122" s="79"/>
      <c r="D122" s="79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29"/>
      <c r="AL122" s="29"/>
      <c r="AM122" s="29"/>
    </row>
    <row r="123" ht="16.5" customHeight="1">
      <c r="A123" s="8"/>
      <c r="B123" s="97"/>
      <c r="C123" s="79"/>
      <c r="D123" s="7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29"/>
      <c r="AL123" s="29"/>
      <c r="AM123" s="29"/>
    </row>
    <row r="124" ht="16.5" customHeight="1">
      <c r="A124" s="8"/>
      <c r="B124" s="97"/>
      <c r="C124" s="79"/>
      <c r="D124" s="79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29"/>
      <c r="AL124" s="29"/>
      <c r="AM124" s="29"/>
    </row>
    <row r="125" ht="16.5" customHeight="1">
      <c r="A125" s="8"/>
      <c r="B125" s="97"/>
      <c r="C125" s="79"/>
      <c r="D125" s="79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29"/>
      <c r="AL125" s="29"/>
      <c r="AM125" s="29"/>
    </row>
    <row r="126" ht="16.5" customHeight="1">
      <c r="A126" s="8"/>
      <c r="B126" s="97"/>
      <c r="C126" s="79"/>
      <c r="D126" s="79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29"/>
      <c r="AL126" s="29"/>
      <c r="AM126" s="29"/>
    </row>
    <row r="127" ht="16.5" customHeight="1">
      <c r="A127" s="8"/>
      <c r="B127" s="97"/>
      <c r="C127" s="79"/>
      <c r="D127" s="79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29"/>
      <c r="AL127" s="29"/>
      <c r="AM127" s="29"/>
    </row>
    <row r="128" ht="16.5" customHeight="1">
      <c r="A128" s="8"/>
      <c r="B128" s="97"/>
      <c r="C128" s="79"/>
      <c r="D128" s="79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29"/>
      <c r="AL128" s="29"/>
      <c r="AM128" s="29"/>
    </row>
    <row r="129" ht="16.5" customHeight="1">
      <c r="A129" s="8"/>
      <c r="B129" s="97"/>
      <c r="C129" s="79"/>
      <c r="D129" s="79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29"/>
      <c r="AL129" s="29"/>
      <c r="AM129" s="29"/>
    </row>
    <row r="130" ht="16.5" customHeight="1">
      <c r="A130" s="8"/>
      <c r="B130" s="97"/>
      <c r="C130" s="79"/>
      <c r="D130" s="79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29"/>
      <c r="AL130" s="29"/>
      <c r="AM130" s="29"/>
    </row>
    <row r="131" ht="16.5" customHeight="1">
      <c r="A131" s="8"/>
      <c r="B131" s="97"/>
      <c r="C131" s="79"/>
      <c r="D131" s="79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29"/>
      <c r="AL131" s="29"/>
      <c r="AM131" s="29"/>
    </row>
    <row r="132" ht="16.5" customHeight="1">
      <c r="A132" s="8"/>
      <c r="B132" s="97"/>
      <c r="C132" s="79"/>
      <c r="D132" s="79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29"/>
      <c r="AL132" s="29"/>
      <c r="AM132" s="29"/>
    </row>
    <row r="133" ht="16.5" customHeight="1">
      <c r="A133" s="8"/>
      <c r="B133" s="97"/>
      <c r="C133" s="79"/>
      <c r="D133" s="79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29"/>
      <c r="AL133" s="29"/>
      <c r="AM133" s="29"/>
    </row>
    <row r="134" ht="16.5" customHeight="1">
      <c r="A134" s="8"/>
      <c r="B134" s="97"/>
      <c r="C134" s="79"/>
      <c r="D134" s="79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29"/>
      <c r="AL134" s="29"/>
      <c r="AM134" s="29"/>
    </row>
    <row r="135" ht="16.5" customHeight="1">
      <c r="A135" s="8"/>
      <c r="B135" s="97"/>
      <c r="C135" s="79"/>
      <c r="D135" s="79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29"/>
      <c r="AL135" s="29"/>
      <c r="AM135" s="29"/>
    </row>
    <row r="136" ht="16.5" customHeight="1">
      <c r="A136" s="8"/>
      <c r="B136" s="97"/>
      <c r="C136" s="79"/>
      <c r="D136" s="79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29"/>
      <c r="AL136" s="29"/>
      <c r="AM136" s="29"/>
    </row>
    <row r="137" ht="16.5" customHeight="1">
      <c r="A137" s="8"/>
      <c r="B137" s="97"/>
      <c r="C137" s="79"/>
      <c r="D137" s="79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29"/>
      <c r="AL137" s="29"/>
      <c r="AM137" s="29"/>
    </row>
    <row r="138" ht="16.5" customHeight="1">
      <c r="A138" s="8"/>
      <c r="B138" s="97"/>
      <c r="C138" s="79"/>
      <c r="D138" s="79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29"/>
      <c r="AL138" s="29"/>
      <c r="AM138" s="29"/>
    </row>
    <row r="139" ht="16.5" customHeight="1">
      <c r="A139" s="8"/>
      <c r="B139" s="97"/>
      <c r="C139" s="79"/>
      <c r="D139" s="79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29"/>
      <c r="AL139" s="29"/>
      <c r="AM139" s="29"/>
    </row>
    <row r="140" ht="16.5" customHeight="1">
      <c r="A140" s="8"/>
      <c r="B140" s="97"/>
      <c r="C140" s="79"/>
      <c r="D140" s="79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29"/>
      <c r="AL140" s="29"/>
      <c r="AM140" s="29"/>
    </row>
    <row r="141" ht="16.5" customHeight="1">
      <c r="A141" s="8"/>
      <c r="B141" s="97"/>
      <c r="C141" s="79"/>
      <c r="D141" s="79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29"/>
      <c r="AL141" s="29"/>
      <c r="AM141" s="29"/>
    </row>
    <row r="142" ht="16.5" customHeight="1">
      <c r="A142" s="8"/>
      <c r="B142" s="97"/>
      <c r="C142" s="79"/>
      <c r="D142" s="79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29"/>
      <c r="AL142" s="29"/>
      <c r="AM142" s="29"/>
    </row>
    <row r="143" ht="16.5" customHeight="1">
      <c r="A143" s="8"/>
      <c r="B143" s="97"/>
      <c r="C143" s="79"/>
      <c r="D143" s="79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29"/>
      <c r="AL143" s="29"/>
      <c r="AM143" s="29"/>
    </row>
    <row r="144" ht="16.5" customHeight="1">
      <c r="A144" s="8"/>
      <c r="B144" s="97"/>
      <c r="C144" s="79"/>
      <c r="D144" s="79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29"/>
      <c r="AL144" s="29"/>
      <c r="AM144" s="29"/>
    </row>
    <row r="145" ht="16.5" customHeight="1">
      <c r="A145" s="8"/>
      <c r="B145" s="97"/>
      <c r="C145" s="79"/>
      <c r="D145" s="79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29"/>
      <c r="AL145" s="29"/>
      <c r="AM145" s="29"/>
    </row>
    <row r="146" ht="16.5" customHeight="1">
      <c r="A146" s="8"/>
      <c r="B146" s="97"/>
      <c r="C146" s="79"/>
      <c r="D146" s="79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29"/>
      <c r="AL146" s="29"/>
      <c r="AM146" s="29"/>
    </row>
    <row r="147" ht="16.5" customHeight="1">
      <c r="A147" s="8"/>
      <c r="B147" s="97"/>
      <c r="C147" s="79"/>
      <c r="D147" s="79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29"/>
      <c r="AL147" s="29"/>
      <c r="AM147" s="29"/>
    </row>
    <row r="148" ht="16.5" customHeight="1">
      <c r="A148" s="8"/>
      <c r="B148" s="97"/>
      <c r="C148" s="79"/>
      <c r="D148" s="79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29"/>
      <c r="AL148" s="29"/>
      <c r="AM148" s="29"/>
    </row>
    <row r="149" ht="16.5" customHeight="1">
      <c r="A149" s="8"/>
      <c r="B149" s="97"/>
      <c r="C149" s="79"/>
      <c r="D149" s="79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29"/>
      <c r="AL149" s="29"/>
      <c r="AM149" s="29"/>
    </row>
    <row r="150" ht="16.5" customHeight="1">
      <c r="A150" s="8"/>
      <c r="B150" s="97"/>
      <c r="C150" s="79"/>
      <c r="D150" s="79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29"/>
      <c r="AL150" s="29"/>
      <c r="AM150" s="29"/>
    </row>
    <row r="151" ht="16.5" customHeight="1">
      <c r="A151" s="8"/>
      <c r="B151" s="97"/>
      <c r="C151" s="79"/>
      <c r="D151" s="79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29"/>
      <c r="AL151" s="29"/>
      <c r="AM151" s="29"/>
    </row>
    <row r="152" ht="16.5" customHeight="1">
      <c r="A152" s="8"/>
      <c r="B152" s="97"/>
      <c r="C152" s="79"/>
      <c r="D152" s="7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29"/>
      <c r="AL152" s="29"/>
      <c r="AM152" s="29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</sheetData>
  <autoFilter ref="$A$3:$AJ$3">
    <sortState ref="A3:AJ3">
      <sortCondition ref="A3"/>
    </sortState>
  </autoFilter>
  <mergeCells count="1">
    <mergeCell ref="AG2:AJ2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5.29"/>
    <col customWidth="1" min="2" max="2" width="18.86" outlineLevel="1"/>
    <col customWidth="1" min="3" max="3" width="23.43" outlineLevel="1"/>
    <col customWidth="1" min="4" max="4" width="12.86" outlineLevel="1"/>
    <col customWidth="1" min="5" max="6" width="15.29" outlineLevel="1"/>
    <col customWidth="1" min="7" max="7" width="10.57" outlineLevel="1"/>
    <col customWidth="1" min="8" max="8" width="28.43" outlineLevel="1"/>
    <col customWidth="1" min="12" max="12" width="15.29"/>
  </cols>
  <sheetData>
    <row r="1">
      <c r="A1" s="254" t="s">
        <v>155</v>
      </c>
      <c r="B1" s="255"/>
      <c r="C1" s="255"/>
      <c r="D1" s="255"/>
      <c r="E1" s="256"/>
      <c r="F1" s="256"/>
      <c r="G1" s="256"/>
      <c r="H1" s="257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>
      <c r="A2" s="20" t="s">
        <v>8</v>
      </c>
      <c r="B2" s="259" t="s">
        <v>156</v>
      </c>
      <c r="C2" s="259" t="s">
        <v>157</v>
      </c>
      <c r="D2" s="259" t="s">
        <v>158</v>
      </c>
      <c r="E2" s="260" t="s">
        <v>159</v>
      </c>
      <c r="F2" s="260" t="s">
        <v>160</v>
      </c>
      <c r="G2" s="259" t="s">
        <v>161</v>
      </c>
      <c r="H2" s="261" t="s">
        <v>162</v>
      </c>
      <c r="I2" s="262" t="s">
        <v>163</v>
      </c>
      <c r="J2" s="262" t="s">
        <v>164</v>
      </c>
      <c r="K2" s="262" t="s">
        <v>103</v>
      </c>
      <c r="L2" s="263" t="s">
        <v>165</v>
      </c>
      <c r="M2" s="262" t="s">
        <v>166</v>
      </c>
      <c r="N2" s="262" t="s">
        <v>167</v>
      </c>
      <c r="O2" s="264" t="s">
        <v>168</v>
      </c>
      <c r="P2" s="264" t="s">
        <v>169</v>
      </c>
    </row>
    <row r="3">
      <c r="A3" s="265" t="s">
        <v>68</v>
      </c>
      <c r="B3" s="266" t="s">
        <v>170</v>
      </c>
      <c r="C3" s="266" t="s">
        <v>171</v>
      </c>
      <c r="D3" s="266" t="s">
        <v>172</v>
      </c>
      <c r="E3" s="267">
        <v>31440.0</v>
      </c>
      <c r="F3" s="268">
        <f>DATEDIF(E3, TODAY(), "Y")</f>
        <v>40</v>
      </c>
      <c r="G3" s="269" t="s">
        <v>173</v>
      </c>
      <c r="H3" s="270" t="s">
        <v>174</v>
      </c>
      <c r="I3" s="271"/>
      <c r="J3" s="271"/>
      <c r="K3" s="271"/>
      <c r="L3" s="271"/>
      <c r="M3" s="271"/>
      <c r="N3" s="271"/>
      <c r="O3" s="271"/>
      <c r="P3" s="271"/>
    </row>
    <row r="4">
      <c r="A4" s="272"/>
      <c r="B4" s="273" t="s">
        <v>175</v>
      </c>
      <c r="C4" s="273" t="s">
        <v>176</v>
      </c>
      <c r="D4" s="273" t="s">
        <v>177</v>
      </c>
      <c r="E4" s="274"/>
      <c r="F4" s="274"/>
      <c r="G4" s="272"/>
      <c r="H4" s="275" t="s">
        <v>178</v>
      </c>
      <c r="I4" s="271"/>
      <c r="J4" s="271"/>
      <c r="K4" s="271"/>
      <c r="L4" s="271"/>
      <c r="M4" s="271"/>
      <c r="N4" s="271"/>
      <c r="O4" s="271"/>
      <c r="P4" s="271"/>
    </row>
    <row r="5">
      <c r="A5" s="276" t="s">
        <v>52</v>
      </c>
      <c r="B5" s="277" t="s">
        <v>179</v>
      </c>
      <c r="C5" s="277" t="s">
        <v>180</v>
      </c>
      <c r="D5" s="277" t="s">
        <v>181</v>
      </c>
      <c r="E5" s="278">
        <v>30700.0</v>
      </c>
      <c r="F5" s="279">
        <f>DATEDIF(E5, TODAY(), "Y")</f>
        <v>42</v>
      </c>
      <c r="G5" s="280" t="s">
        <v>182</v>
      </c>
      <c r="H5" s="270" t="s">
        <v>174</v>
      </c>
      <c r="I5" s="281" t="s">
        <v>48</v>
      </c>
      <c r="J5" s="281" t="s">
        <v>48</v>
      </c>
      <c r="K5" s="281" t="s">
        <v>48</v>
      </c>
      <c r="L5" s="282" t="s">
        <v>183</v>
      </c>
      <c r="M5" s="283"/>
      <c r="N5" s="271"/>
      <c r="O5" s="271"/>
      <c r="P5" s="271"/>
    </row>
    <row r="6">
      <c r="A6" s="284"/>
      <c r="B6" s="285" t="s">
        <v>184</v>
      </c>
      <c r="C6" s="285" t="s">
        <v>185</v>
      </c>
      <c r="D6" s="285" t="s">
        <v>186</v>
      </c>
      <c r="E6" s="286"/>
      <c r="F6" s="286"/>
      <c r="G6" s="284"/>
      <c r="H6" s="287" t="s">
        <v>187</v>
      </c>
      <c r="I6" s="288"/>
      <c r="J6" s="288"/>
      <c r="K6" s="288"/>
      <c r="L6" s="288"/>
      <c r="M6" s="288"/>
      <c r="N6" s="271"/>
      <c r="O6" s="271"/>
      <c r="P6" s="271"/>
    </row>
    <row r="7">
      <c r="A7" s="289"/>
      <c r="B7" s="290" t="s">
        <v>188</v>
      </c>
      <c r="C7" s="290" t="s">
        <v>189</v>
      </c>
      <c r="D7" s="290" t="s">
        <v>190</v>
      </c>
      <c r="E7" s="291"/>
      <c r="F7" s="291"/>
      <c r="G7" s="289"/>
      <c r="H7" s="289"/>
      <c r="I7" s="292"/>
      <c r="J7" s="292"/>
      <c r="K7" s="292"/>
      <c r="L7" s="292"/>
      <c r="M7" s="292"/>
      <c r="N7" s="271"/>
      <c r="O7" s="271"/>
      <c r="P7" s="271"/>
    </row>
    <row r="8">
      <c r="A8" s="293" t="s">
        <v>60</v>
      </c>
      <c r="B8" s="294" t="s">
        <v>191</v>
      </c>
      <c r="C8" s="294" t="s">
        <v>192</v>
      </c>
      <c r="D8" s="294" t="s">
        <v>193</v>
      </c>
      <c r="E8" s="295">
        <v>31159.0</v>
      </c>
      <c r="F8" s="296">
        <f>DATEDIF(E8, TODAY(), "Y")</f>
        <v>41</v>
      </c>
      <c r="G8" s="297" t="s">
        <v>194</v>
      </c>
      <c r="H8" s="270" t="s">
        <v>174</v>
      </c>
      <c r="I8" s="298" t="s">
        <v>48</v>
      </c>
      <c r="J8" s="298" t="s">
        <v>48</v>
      </c>
      <c r="K8" s="298" t="s">
        <v>48</v>
      </c>
      <c r="L8" s="299" t="s">
        <v>183</v>
      </c>
      <c r="M8" s="300"/>
      <c r="N8" s="271"/>
      <c r="O8" s="271"/>
      <c r="P8" s="271"/>
    </row>
    <row r="9">
      <c r="A9" s="301"/>
      <c r="B9" s="302" t="s">
        <v>195</v>
      </c>
      <c r="C9" s="302" t="s">
        <v>196</v>
      </c>
      <c r="D9" s="302" t="s">
        <v>197</v>
      </c>
      <c r="E9" s="291"/>
      <c r="F9" s="291"/>
      <c r="G9" s="301"/>
      <c r="H9" s="303" t="s">
        <v>198</v>
      </c>
      <c r="I9" s="292"/>
      <c r="J9" s="292"/>
      <c r="K9" s="292"/>
      <c r="L9" s="304"/>
      <c r="M9" s="292"/>
      <c r="N9" s="271"/>
      <c r="O9" s="271"/>
      <c r="P9" s="271"/>
    </row>
    <row r="10">
      <c r="A10" s="305"/>
      <c r="B10" s="285" t="s">
        <v>199</v>
      </c>
      <c r="C10" s="285" t="s">
        <v>200</v>
      </c>
      <c r="D10" s="285" t="s">
        <v>201</v>
      </c>
      <c r="E10" s="286"/>
      <c r="F10" s="286"/>
      <c r="G10" s="305"/>
      <c r="H10" s="305"/>
      <c r="I10" s="288"/>
      <c r="J10" s="288"/>
      <c r="K10" s="288"/>
      <c r="L10" s="306"/>
      <c r="M10" s="288"/>
      <c r="N10" s="271"/>
      <c r="O10" s="271"/>
      <c r="P10" s="271"/>
    </row>
    <row r="11">
      <c r="A11" s="276" t="s">
        <v>202</v>
      </c>
      <c r="B11" s="277" t="s">
        <v>203</v>
      </c>
      <c r="C11" s="277" t="s">
        <v>204</v>
      </c>
      <c r="D11" s="277" t="s">
        <v>205</v>
      </c>
      <c r="E11" s="278">
        <v>35641.0</v>
      </c>
      <c r="F11" s="279">
        <f>DATEDIF(E11, TODAY(), "Y")</f>
        <v>28</v>
      </c>
      <c r="G11" s="280" t="s">
        <v>206</v>
      </c>
      <c r="H11" s="270" t="s">
        <v>174</v>
      </c>
      <c r="I11" s="281" t="s">
        <v>48</v>
      </c>
      <c r="J11" s="281" t="s">
        <v>48</v>
      </c>
      <c r="K11" s="281" t="s">
        <v>48</v>
      </c>
      <c r="L11" s="282" t="s">
        <v>183</v>
      </c>
      <c r="M11" s="281"/>
      <c r="N11" s="271"/>
      <c r="O11" s="271"/>
      <c r="P11" s="271"/>
    </row>
    <row r="12">
      <c r="A12" s="305"/>
      <c r="B12" s="285" t="s">
        <v>207</v>
      </c>
      <c r="C12" s="285" t="s">
        <v>208</v>
      </c>
      <c r="D12" s="307"/>
      <c r="E12" s="286"/>
      <c r="F12" s="286"/>
      <c r="G12" s="305"/>
      <c r="H12" s="308" t="s">
        <v>209</v>
      </c>
      <c r="I12" s="309"/>
      <c r="J12" s="309"/>
      <c r="K12" s="309"/>
      <c r="L12" s="306"/>
      <c r="M12" s="309"/>
      <c r="N12" s="271"/>
      <c r="O12" s="271"/>
      <c r="P12" s="271"/>
    </row>
    <row r="13">
      <c r="A13" s="276" t="s">
        <v>93</v>
      </c>
      <c r="B13" s="277" t="s">
        <v>210</v>
      </c>
      <c r="C13" s="277" t="s">
        <v>211</v>
      </c>
      <c r="D13" s="277" t="s">
        <v>212</v>
      </c>
      <c r="E13" s="278">
        <v>27135.0</v>
      </c>
      <c r="F13" s="279">
        <f>DATEDIF(E13, TODAY(), "Y")</f>
        <v>52</v>
      </c>
      <c r="G13" s="280" t="s">
        <v>213</v>
      </c>
      <c r="H13" s="270" t="s">
        <v>174</v>
      </c>
      <c r="I13" s="281" t="s">
        <v>48</v>
      </c>
      <c r="J13" s="281" t="s">
        <v>214</v>
      </c>
      <c r="K13" s="281" t="s">
        <v>48</v>
      </c>
      <c r="L13" s="282" t="s">
        <v>183</v>
      </c>
      <c r="M13" s="310"/>
      <c r="N13" s="271"/>
      <c r="O13" s="271"/>
      <c r="P13" s="271"/>
    </row>
    <row r="14">
      <c r="A14" s="284"/>
      <c r="B14" s="311" t="s">
        <v>215</v>
      </c>
      <c r="C14" s="312" t="s">
        <v>216</v>
      </c>
      <c r="D14" s="313" t="s">
        <v>217</v>
      </c>
      <c r="E14" s="314"/>
      <c r="F14" s="286"/>
      <c r="G14" s="284"/>
      <c r="H14" s="287"/>
      <c r="I14" s="309"/>
      <c r="J14" s="309"/>
      <c r="K14" s="309"/>
      <c r="L14" s="306"/>
      <c r="M14" s="306"/>
      <c r="N14" s="271"/>
      <c r="O14" s="271"/>
      <c r="P14" s="271"/>
    </row>
    <row r="15">
      <c r="A15" s="301"/>
      <c r="B15" s="315" t="s">
        <v>218</v>
      </c>
      <c r="C15" s="312" t="s">
        <v>219</v>
      </c>
      <c r="D15" s="313" t="s">
        <v>220</v>
      </c>
      <c r="E15" s="316"/>
      <c r="F15" s="291"/>
      <c r="G15" s="301"/>
      <c r="H15" s="303"/>
      <c r="I15" s="317"/>
      <c r="J15" s="317"/>
      <c r="K15" s="317"/>
      <c r="L15" s="304"/>
      <c r="M15" s="304"/>
      <c r="N15" s="271"/>
      <c r="O15" s="271"/>
      <c r="P15" s="271"/>
    </row>
    <row r="16">
      <c r="A16" s="305"/>
      <c r="B16" s="294" t="s">
        <v>221</v>
      </c>
      <c r="C16" s="294" t="s">
        <v>222</v>
      </c>
      <c r="D16" s="294" t="s">
        <v>223</v>
      </c>
      <c r="E16" s="286"/>
      <c r="F16" s="286"/>
      <c r="G16" s="305"/>
      <c r="H16" s="308" t="s">
        <v>224</v>
      </c>
      <c r="I16" s="309"/>
      <c r="J16" s="309"/>
      <c r="K16" s="309"/>
      <c r="L16" s="306"/>
      <c r="M16" s="306"/>
      <c r="N16" s="271"/>
      <c r="O16" s="271"/>
      <c r="P16" s="271"/>
    </row>
    <row r="17">
      <c r="A17" s="318" t="s">
        <v>75</v>
      </c>
      <c r="B17" s="319" t="s">
        <v>225</v>
      </c>
      <c r="C17" s="319" t="s">
        <v>226</v>
      </c>
      <c r="D17" s="319" t="s">
        <v>227</v>
      </c>
      <c r="E17" s="278">
        <v>32241.0</v>
      </c>
      <c r="F17" s="279">
        <f t="shared" ref="F17:F18" si="1">DATEDIF(E17, TODAY(), "Y")</f>
        <v>38</v>
      </c>
      <c r="G17" s="320" t="s">
        <v>228</v>
      </c>
      <c r="H17" s="321" t="s">
        <v>229</v>
      </c>
      <c r="I17" s="322"/>
      <c r="J17" s="322"/>
      <c r="K17" s="322"/>
      <c r="L17" s="323"/>
      <c r="M17" s="323"/>
      <c r="N17" s="324"/>
      <c r="O17" s="324"/>
      <c r="P17" s="324"/>
      <c r="Q17" s="325"/>
      <c r="R17" s="325"/>
      <c r="S17" s="325"/>
      <c r="T17" s="325"/>
      <c r="U17" s="325"/>
      <c r="V17" s="325"/>
      <c r="W17" s="325"/>
      <c r="X17" s="325"/>
      <c r="Y17" s="325"/>
      <c r="Z17" s="325"/>
    </row>
    <row r="18">
      <c r="A18" s="293" t="s">
        <v>86</v>
      </c>
      <c r="B18" s="294" t="s">
        <v>230</v>
      </c>
      <c r="C18" s="294" t="s">
        <v>231</v>
      </c>
      <c r="D18" s="294" t="s">
        <v>232</v>
      </c>
      <c r="E18" s="295">
        <v>34236.0</v>
      </c>
      <c r="F18" s="296">
        <f t="shared" si="1"/>
        <v>32</v>
      </c>
      <c r="G18" s="297" t="s">
        <v>233</v>
      </c>
      <c r="H18" s="326" t="s">
        <v>234</v>
      </c>
      <c r="I18" s="298" t="s">
        <v>235</v>
      </c>
      <c r="J18" s="298" t="s">
        <v>48</v>
      </c>
      <c r="K18" s="298" t="s">
        <v>48</v>
      </c>
      <c r="L18" s="299" t="s">
        <v>236</v>
      </c>
      <c r="M18" s="327"/>
      <c r="N18" s="271"/>
      <c r="O18" s="271"/>
      <c r="P18" s="271"/>
    </row>
    <row r="19">
      <c r="A19" s="289"/>
      <c r="B19" s="277" t="s">
        <v>237</v>
      </c>
      <c r="C19" s="277" t="s">
        <v>238</v>
      </c>
      <c r="D19" s="328"/>
      <c r="E19" s="291"/>
      <c r="F19" s="291"/>
      <c r="G19" s="289"/>
      <c r="H19" s="329" t="s">
        <v>239</v>
      </c>
      <c r="I19" s="317"/>
      <c r="J19" s="317"/>
      <c r="K19" s="317"/>
      <c r="L19" s="304"/>
      <c r="M19" s="304"/>
      <c r="N19" s="271"/>
      <c r="O19" s="271"/>
      <c r="P19" s="271"/>
    </row>
    <row r="20">
      <c r="A20" s="330" t="s">
        <v>240</v>
      </c>
      <c r="B20" s="294" t="s">
        <v>241</v>
      </c>
      <c r="C20" s="294" t="s">
        <v>242</v>
      </c>
      <c r="D20" s="294" t="s">
        <v>243</v>
      </c>
      <c r="E20" s="331"/>
      <c r="F20" s="331"/>
      <c r="G20" s="297" t="s">
        <v>244</v>
      </c>
      <c r="H20" s="332" t="s">
        <v>245</v>
      </c>
      <c r="I20" s="288"/>
      <c r="J20" s="288"/>
      <c r="K20" s="288"/>
      <c r="L20" s="306"/>
      <c r="M20" s="288"/>
      <c r="N20" s="271"/>
      <c r="O20" s="271"/>
      <c r="P20" s="271"/>
    </row>
    <row r="21">
      <c r="A21" s="289"/>
      <c r="B21" s="277" t="s">
        <v>246</v>
      </c>
      <c r="C21" s="277" t="s">
        <v>247</v>
      </c>
      <c r="D21" s="277" t="s">
        <v>248</v>
      </c>
      <c r="E21" s="333"/>
      <c r="F21" s="333"/>
      <c r="G21" s="289"/>
      <c r="H21" s="329" t="s">
        <v>249</v>
      </c>
      <c r="I21" s="317"/>
      <c r="J21" s="317"/>
      <c r="K21" s="317"/>
      <c r="L21" s="304"/>
      <c r="M21" s="317"/>
      <c r="N21" s="271"/>
      <c r="O21" s="271"/>
      <c r="P21" s="271"/>
    </row>
    <row r="22">
      <c r="A22" s="293" t="s">
        <v>42</v>
      </c>
      <c r="B22" s="294" t="s">
        <v>250</v>
      </c>
      <c r="C22" s="294" t="s">
        <v>251</v>
      </c>
      <c r="D22" s="294" t="s">
        <v>252</v>
      </c>
      <c r="E22" s="331"/>
      <c r="F22" s="331"/>
      <c r="G22" s="297" t="s">
        <v>253</v>
      </c>
      <c r="H22" s="332" t="s">
        <v>245</v>
      </c>
      <c r="I22" s="288"/>
      <c r="J22" s="288"/>
      <c r="K22" s="288"/>
      <c r="L22" s="306"/>
      <c r="M22" s="288"/>
      <c r="N22" s="271"/>
      <c r="O22" s="271"/>
      <c r="P22" s="271"/>
    </row>
    <row r="23">
      <c r="A23" s="289"/>
      <c r="B23" s="302" t="s">
        <v>254</v>
      </c>
      <c r="C23" s="302" t="s">
        <v>255</v>
      </c>
      <c r="D23" s="302" t="s">
        <v>256</v>
      </c>
      <c r="E23" s="333"/>
      <c r="F23" s="333"/>
      <c r="G23" s="289"/>
      <c r="H23" s="329" t="s">
        <v>257</v>
      </c>
      <c r="I23" s="317"/>
      <c r="J23" s="317"/>
      <c r="K23" s="317"/>
      <c r="L23" s="304"/>
      <c r="M23" s="317"/>
      <c r="N23" s="271"/>
      <c r="O23" s="271"/>
      <c r="P23" s="271"/>
    </row>
    <row r="24">
      <c r="A24" s="334" t="s">
        <v>78</v>
      </c>
      <c r="B24" s="335" t="s">
        <v>258</v>
      </c>
      <c r="C24" s="336" t="s">
        <v>259</v>
      </c>
      <c r="D24" s="335" t="s">
        <v>260</v>
      </c>
      <c r="E24" s="331"/>
      <c r="F24" s="331"/>
      <c r="G24" s="331"/>
      <c r="H24" s="337" t="s">
        <v>261</v>
      </c>
      <c r="I24" s="288"/>
      <c r="J24" s="288"/>
      <c r="K24" s="288"/>
      <c r="L24" s="306"/>
      <c r="M24" s="288"/>
      <c r="N24" s="271"/>
      <c r="O24" s="271"/>
      <c r="P24" s="271"/>
    </row>
    <row r="25">
      <c r="E25" s="256"/>
      <c r="F25" s="256"/>
      <c r="G25" s="256"/>
      <c r="H25" s="257"/>
    </row>
    <row r="26">
      <c r="E26" s="256"/>
      <c r="F26" s="256"/>
      <c r="G26" s="256"/>
      <c r="H26" s="257"/>
    </row>
    <row r="27">
      <c r="E27" s="256"/>
      <c r="F27" s="256"/>
      <c r="G27" s="256"/>
      <c r="H27" s="257"/>
    </row>
    <row r="28">
      <c r="E28" s="256"/>
      <c r="F28" s="256"/>
      <c r="G28" s="256"/>
      <c r="H28" s="257"/>
    </row>
    <row r="29">
      <c r="E29" s="256"/>
      <c r="F29" s="256"/>
      <c r="G29" s="256"/>
      <c r="H29" s="257"/>
    </row>
    <row r="30">
      <c r="E30" s="256"/>
      <c r="F30" s="256"/>
      <c r="G30" s="256"/>
      <c r="H30" s="257"/>
    </row>
    <row r="31">
      <c r="E31" s="256"/>
      <c r="F31" s="256"/>
      <c r="G31" s="256"/>
      <c r="H31" s="257"/>
    </row>
    <row r="32">
      <c r="E32" s="256"/>
      <c r="F32" s="256"/>
      <c r="G32" s="256"/>
      <c r="H32" s="257"/>
    </row>
    <row r="33">
      <c r="E33" s="256"/>
      <c r="F33" s="256"/>
      <c r="G33" s="256"/>
      <c r="H33" s="257"/>
    </row>
    <row r="34">
      <c r="E34" s="256"/>
      <c r="F34" s="256"/>
      <c r="G34" s="256"/>
      <c r="H34" s="257"/>
    </row>
    <row r="35">
      <c r="E35" s="256"/>
      <c r="F35" s="256"/>
      <c r="G35" s="256"/>
      <c r="H35" s="257"/>
    </row>
    <row r="36">
      <c r="E36" s="256"/>
      <c r="F36" s="256"/>
      <c r="G36" s="256"/>
      <c r="H36" s="257"/>
    </row>
    <row r="37">
      <c r="E37" s="256"/>
      <c r="F37" s="256"/>
      <c r="G37" s="256"/>
      <c r="H37" s="257"/>
    </row>
    <row r="38">
      <c r="E38" s="256"/>
      <c r="F38" s="256"/>
      <c r="G38" s="256"/>
      <c r="H38" s="257"/>
    </row>
    <row r="39">
      <c r="E39" s="256"/>
      <c r="F39" s="256"/>
      <c r="G39" s="256"/>
      <c r="H39" s="257"/>
    </row>
    <row r="40">
      <c r="E40" s="256"/>
      <c r="F40" s="256"/>
      <c r="G40" s="256"/>
      <c r="H40" s="257"/>
    </row>
    <row r="41">
      <c r="E41" s="256"/>
      <c r="F41" s="256"/>
      <c r="G41" s="256"/>
      <c r="H41" s="257"/>
    </row>
    <row r="42">
      <c r="E42" s="256"/>
      <c r="F42" s="256"/>
      <c r="G42" s="256"/>
      <c r="H42" s="257"/>
    </row>
    <row r="43">
      <c r="E43" s="256"/>
      <c r="F43" s="256"/>
      <c r="G43" s="256"/>
      <c r="H43" s="257"/>
    </row>
    <row r="44">
      <c r="E44" s="256"/>
      <c r="F44" s="256"/>
      <c r="G44" s="256"/>
      <c r="H44" s="257"/>
    </row>
    <row r="45">
      <c r="E45" s="256"/>
      <c r="F45" s="256"/>
      <c r="G45" s="256"/>
      <c r="H45" s="257"/>
    </row>
    <row r="46">
      <c r="E46" s="256"/>
      <c r="F46" s="256"/>
      <c r="G46" s="256"/>
      <c r="H46" s="257"/>
    </row>
    <row r="47">
      <c r="E47" s="256"/>
      <c r="F47" s="256"/>
      <c r="G47" s="256"/>
      <c r="H47" s="257"/>
    </row>
    <row r="48">
      <c r="E48" s="256"/>
      <c r="F48" s="256"/>
      <c r="G48" s="256"/>
      <c r="H48" s="257"/>
    </row>
    <row r="49">
      <c r="E49" s="256"/>
      <c r="F49" s="256"/>
      <c r="G49" s="256"/>
      <c r="H49" s="257"/>
    </row>
    <row r="50">
      <c r="E50" s="256"/>
      <c r="F50" s="256"/>
      <c r="G50" s="256"/>
      <c r="H50" s="257"/>
    </row>
    <row r="51">
      <c r="E51" s="256"/>
      <c r="F51" s="256"/>
      <c r="G51" s="256"/>
      <c r="H51" s="257"/>
    </row>
    <row r="52">
      <c r="E52" s="256"/>
      <c r="F52" s="256"/>
      <c r="G52" s="256"/>
      <c r="H52" s="257"/>
    </row>
    <row r="53">
      <c r="E53" s="256"/>
      <c r="F53" s="256"/>
      <c r="G53" s="256"/>
      <c r="H53" s="257"/>
    </row>
    <row r="54">
      <c r="E54" s="256"/>
      <c r="F54" s="256"/>
      <c r="G54" s="256"/>
      <c r="H54" s="257"/>
    </row>
    <row r="55">
      <c r="E55" s="256"/>
      <c r="F55" s="256"/>
      <c r="G55" s="256"/>
      <c r="H55" s="257"/>
    </row>
    <row r="56">
      <c r="E56" s="256"/>
      <c r="F56" s="256"/>
      <c r="G56" s="256"/>
      <c r="H56" s="257"/>
    </row>
    <row r="57">
      <c r="E57" s="256"/>
      <c r="F57" s="256"/>
      <c r="G57" s="256"/>
      <c r="H57" s="257"/>
    </row>
    <row r="58">
      <c r="E58" s="256"/>
      <c r="F58" s="256"/>
      <c r="G58" s="256"/>
      <c r="H58" s="257"/>
    </row>
    <row r="59">
      <c r="E59" s="256"/>
      <c r="F59" s="256"/>
      <c r="G59" s="256"/>
      <c r="H59" s="257"/>
    </row>
    <row r="60">
      <c r="E60" s="256"/>
      <c r="F60" s="256"/>
      <c r="G60" s="256"/>
      <c r="H60" s="257"/>
    </row>
    <row r="61">
      <c r="E61" s="256"/>
      <c r="F61" s="256"/>
      <c r="G61" s="256"/>
      <c r="H61" s="257"/>
    </row>
    <row r="62">
      <c r="E62" s="256"/>
      <c r="F62" s="256"/>
      <c r="G62" s="256"/>
      <c r="H62" s="257"/>
    </row>
    <row r="63">
      <c r="E63" s="256"/>
      <c r="F63" s="256"/>
      <c r="G63" s="256"/>
      <c r="H63" s="257"/>
    </row>
    <row r="64">
      <c r="E64" s="256"/>
      <c r="F64" s="256"/>
      <c r="G64" s="256"/>
      <c r="H64" s="257"/>
    </row>
    <row r="65">
      <c r="E65" s="256"/>
      <c r="F65" s="256"/>
      <c r="G65" s="256"/>
      <c r="H65" s="257"/>
    </row>
    <row r="66">
      <c r="E66" s="256"/>
      <c r="F66" s="256"/>
      <c r="G66" s="256"/>
      <c r="H66" s="257"/>
    </row>
    <row r="67">
      <c r="E67" s="256"/>
      <c r="F67" s="256"/>
      <c r="G67" s="256"/>
      <c r="H67" s="257"/>
    </row>
    <row r="68">
      <c r="E68" s="256"/>
      <c r="F68" s="256"/>
      <c r="G68" s="256"/>
      <c r="H68" s="257"/>
    </row>
    <row r="69">
      <c r="E69" s="256"/>
      <c r="F69" s="256"/>
      <c r="G69" s="256"/>
      <c r="H69" s="257"/>
    </row>
    <row r="70">
      <c r="E70" s="256"/>
      <c r="F70" s="256"/>
      <c r="G70" s="256"/>
      <c r="H70" s="257"/>
    </row>
    <row r="71">
      <c r="E71" s="256"/>
      <c r="F71" s="256"/>
      <c r="G71" s="256"/>
      <c r="H71" s="257"/>
    </row>
    <row r="72">
      <c r="E72" s="256"/>
      <c r="F72" s="256"/>
      <c r="G72" s="256"/>
      <c r="H72" s="257"/>
    </row>
    <row r="73">
      <c r="E73" s="256"/>
      <c r="F73" s="256"/>
      <c r="G73" s="256"/>
      <c r="H73" s="257"/>
    </row>
    <row r="74">
      <c r="E74" s="256"/>
      <c r="F74" s="256"/>
      <c r="G74" s="256"/>
      <c r="H74" s="257"/>
    </row>
    <row r="75">
      <c r="E75" s="256"/>
      <c r="F75" s="256"/>
      <c r="G75" s="256"/>
      <c r="H75" s="257"/>
    </row>
    <row r="76">
      <c r="E76" s="256"/>
      <c r="F76" s="256"/>
      <c r="G76" s="256"/>
      <c r="H76" s="257"/>
    </row>
    <row r="77">
      <c r="E77" s="256"/>
      <c r="F77" s="256"/>
      <c r="G77" s="256"/>
      <c r="H77" s="257"/>
    </row>
    <row r="78">
      <c r="E78" s="256"/>
      <c r="F78" s="256"/>
      <c r="G78" s="256"/>
      <c r="H78" s="257"/>
    </row>
    <row r="79">
      <c r="E79" s="256"/>
      <c r="F79" s="256"/>
      <c r="G79" s="256"/>
      <c r="H79" s="257"/>
    </row>
    <row r="80">
      <c r="E80" s="256"/>
      <c r="F80" s="256"/>
      <c r="G80" s="256"/>
      <c r="H80" s="257"/>
    </row>
    <row r="81">
      <c r="E81" s="256"/>
      <c r="F81" s="256"/>
      <c r="G81" s="256"/>
      <c r="H81" s="257"/>
    </row>
    <row r="82">
      <c r="E82" s="256"/>
      <c r="F82" s="256"/>
      <c r="G82" s="256"/>
      <c r="H82" s="257"/>
    </row>
    <row r="83">
      <c r="E83" s="256"/>
      <c r="F83" s="256"/>
      <c r="G83" s="256"/>
      <c r="H83" s="257"/>
    </row>
    <row r="84">
      <c r="E84" s="256"/>
      <c r="F84" s="256"/>
      <c r="G84" s="256"/>
      <c r="H84" s="257"/>
    </row>
    <row r="85">
      <c r="E85" s="256"/>
      <c r="F85" s="256"/>
      <c r="G85" s="256"/>
      <c r="H85" s="257"/>
    </row>
    <row r="86">
      <c r="E86" s="256"/>
      <c r="F86" s="256"/>
      <c r="G86" s="256"/>
      <c r="H86" s="257"/>
    </row>
    <row r="87">
      <c r="E87" s="256"/>
      <c r="F87" s="256"/>
      <c r="G87" s="256"/>
      <c r="H87" s="257"/>
    </row>
    <row r="88">
      <c r="E88" s="256"/>
      <c r="F88" s="256"/>
      <c r="G88" s="256"/>
      <c r="H88" s="257"/>
    </row>
    <row r="89">
      <c r="E89" s="256"/>
      <c r="F89" s="256"/>
      <c r="G89" s="256"/>
      <c r="H89" s="257"/>
    </row>
    <row r="90">
      <c r="E90" s="256"/>
      <c r="F90" s="256"/>
      <c r="G90" s="256"/>
      <c r="H90" s="257"/>
    </row>
    <row r="91">
      <c r="E91" s="256"/>
      <c r="F91" s="256"/>
      <c r="G91" s="256"/>
      <c r="H91" s="257"/>
    </row>
    <row r="92">
      <c r="E92" s="256"/>
      <c r="F92" s="256"/>
      <c r="G92" s="256"/>
      <c r="H92" s="257"/>
    </row>
    <row r="93">
      <c r="E93" s="256"/>
      <c r="F93" s="256"/>
      <c r="G93" s="256"/>
      <c r="H93" s="257"/>
    </row>
    <row r="94">
      <c r="E94" s="256"/>
      <c r="F94" s="256"/>
      <c r="G94" s="256"/>
      <c r="H94" s="257"/>
    </row>
    <row r="95">
      <c r="E95" s="256"/>
      <c r="F95" s="256"/>
      <c r="G95" s="256"/>
      <c r="H95" s="257"/>
    </row>
    <row r="96">
      <c r="E96" s="256"/>
      <c r="F96" s="256"/>
      <c r="G96" s="256"/>
      <c r="H96" s="257"/>
    </row>
    <row r="97">
      <c r="E97" s="256"/>
      <c r="F97" s="256"/>
      <c r="G97" s="256"/>
      <c r="H97" s="257"/>
    </row>
    <row r="98">
      <c r="E98" s="256"/>
      <c r="F98" s="256"/>
      <c r="G98" s="256"/>
      <c r="H98" s="257"/>
    </row>
    <row r="99">
      <c r="E99" s="256"/>
      <c r="F99" s="256"/>
      <c r="G99" s="256"/>
      <c r="H99" s="257"/>
    </row>
    <row r="100">
      <c r="E100" s="256"/>
      <c r="F100" s="256"/>
      <c r="G100" s="256"/>
      <c r="H100" s="257"/>
    </row>
    <row r="101">
      <c r="E101" s="256"/>
      <c r="F101" s="256"/>
      <c r="G101" s="256"/>
      <c r="H101" s="257"/>
    </row>
    <row r="102">
      <c r="E102" s="256"/>
      <c r="F102" s="256"/>
      <c r="G102" s="256"/>
      <c r="H102" s="257"/>
    </row>
    <row r="103">
      <c r="E103" s="256"/>
      <c r="F103" s="256"/>
      <c r="G103" s="256"/>
      <c r="H103" s="257"/>
    </row>
    <row r="104">
      <c r="E104" s="256"/>
      <c r="F104" s="256"/>
      <c r="G104" s="256"/>
      <c r="H104" s="257"/>
    </row>
    <row r="105">
      <c r="E105" s="256"/>
      <c r="F105" s="256"/>
      <c r="G105" s="256"/>
      <c r="H105" s="257"/>
    </row>
    <row r="106">
      <c r="E106" s="256"/>
      <c r="F106" s="256"/>
      <c r="G106" s="256"/>
      <c r="H106" s="257"/>
    </row>
    <row r="107">
      <c r="E107" s="256"/>
      <c r="F107" s="256"/>
      <c r="G107" s="256"/>
      <c r="H107" s="257"/>
    </row>
    <row r="108">
      <c r="E108" s="256"/>
      <c r="F108" s="256"/>
      <c r="G108" s="256"/>
      <c r="H108" s="257"/>
    </row>
    <row r="109">
      <c r="E109" s="256"/>
      <c r="F109" s="256"/>
      <c r="G109" s="256"/>
      <c r="H109" s="257"/>
    </row>
    <row r="110">
      <c r="E110" s="256"/>
      <c r="F110" s="256"/>
      <c r="G110" s="256"/>
      <c r="H110" s="257"/>
    </row>
    <row r="111">
      <c r="E111" s="256"/>
      <c r="F111" s="256"/>
      <c r="G111" s="256"/>
      <c r="H111" s="257"/>
    </row>
    <row r="112">
      <c r="E112" s="256"/>
      <c r="F112" s="256"/>
      <c r="G112" s="256"/>
      <c r="H112" s="257"/>
    </row>
    <row r="113">
      <c r="E113" s="256"/>
      <c r="F113" s="256"/>
      <c r="G113" s="256"/>
      <c r="H113" s="257"/>
    </row>
    <row r="114">
      <c r="E114" s="256"/>
      <c r="F114" s="256"/>
      <c r="G114" s="256"/>
      <c r="H114" s="257"/>
    </row>
    <row r="115">
      <c r="E115" s="256"/>
      <c r="F115" s="256"/>
      <c r="G115" s="256"/>
      <c r="H115" s="257"/>
    </row>
    <row r="116">
      <c r="E116" s="256"/>
      <c r="F116" s="256"/>
      <c r="G116" s="256"/>
      <c r="H116" s="257"/>
    </row>
    <row r="117">
      <c r="E117" s="256"/>
      <c r="F117" s="256"/>
      <c r="G117" s="256"/>
      <c r="H117" s="257"/>
    </row>
    <row r="118">
      <c r="E118" s="256"/>
      <c r="F118" s="256"/>
      <c r="G118" s="256"/>
      <c r="H118" s="257"/>
    </row>
    <row r="119">
      <c r="E119" s="256"/>
      <c r="F119" s="256"/>
      <c r="G119" s="256"/>
      <c r="H119" s="257"/>
    </row>
    <row r="120">
      <c r="E120" s="256"/>
      <c r="F120" s="256"/>
      <c r="G120" s="256"/>
      <c r="H120" s="257"/>
    </row>
    <row r="121">
      <c r="E121" s="256"/>
      <c r="F121" s="256"/>
      <c r="G121" s="256"/>
      <c r="H121" s="257"/>
    </row>
    <row r="122">
      <c r="E122" s="256"/>
      <c r="F122" s="256"/>
      <c r="G122" s="256"/>
      <c r="H122" s="257"/>
    </row>
    <row r="123">
      <c r="E123" s="256"/>
      <c r="F123" s="256"/>
      <c r="G123" s="256"/>
      <c r="H123" s="257"/>
    </row>
    <row r="124">
      <c r="E124" s="256"/>
      <c r="F124" s="256"/>
      <c r="G124" s="256"/>
      <c r="H124" s="257"/>
    </row>
    <row r="125">
      <c r="E125" s="256"/>
      <c r="F125" s="256"/>
      <c r="G125" s="256"/>
      <c r="H125" s="257"/>
    </row>
    <row r="126">
      <c r="E126" s="256"/>
      <c r="F126" s="256"/>
      <c r="G126" s="256"/>
      <c r="H126" s="257"/>
    </row>
    <row r="127">
      <c r="E127" s="256"/>
      <c r="F127" s="256"/>
      <c r="G127" s="256"/>
      <c r="H127" s="257"/>
    </row>
    <row r="128">
      <c r="E128" s="256"/>
      <c r="F128" s="256"/>
      <c r="G128" s="256"/>
      <c r="H128" s="257"/>
    </row>
    <row r="129">
      <c r="E129" s="256"/>
      <c r="F129" s="256"/>
      <c r="G129" s="256"/>
      <c r="H129" s="257"/>
    </row>
    <row r="130">
      <c r="E130" s="256"/>
      <c r="F130" s="256"/>
      <c r="G130" s="256"/>
      <c r="H130" s="257"/>
    </row>
    <row r="131">
      <c r="E131" s="256"/>
      <c r="F131" s="256"/>
      <c r="G131" s="256"/>
      <c r="H131" s="257"/>
    </row>
    <row r="132">
      <c r="E132" s="256"/>
      <c r="F132" s="256"/>
      <c r="G132" s="256"/>
      <c r="H132" s="257"/>
    </row>
    <row r="133">
      <c r="E133" s="256"/>
      <c r="F133" s="256"/>
      <c r="G133" s="256"/>
      <c r="H133" s="257"/>
    </row>
    <row r="134">
      <c r="E134" s="256"/>
      <c r="F134" s="256"/>
      <c r="G134" s="256"/>
      <c r="H134" s="257"/>
    </row>
    <row r="135">
      <c r="E135" s="256"/>
      <c r="F135" s="256"/>
      <c r="G135" s="256"/>
      <c r="H135" s="257"/>
    </row>
    <row r="136">
      <c r="E136" s="256"/>
      <c r="F136" s="256"/>
      <c r="G136" s="256"/>
      <c r="H136" s="257"/>
    </row>
    <row r="137">
      <c r="E137" s="256"/>
      <c r="F137" s="256"/>
      <c r="G137" s="256"/>
      <c r="H137" s="257"/>
    </row>
    <row r="138">
      <c r="E138" s="256"/>
      <c r="F138" s="256"/>
      <c r="G138" s="256"/>
      <c r="H138" s="257"/>
    </row>
    <row r="139">
      <c r="E139" s="256"/>
      <c r="F139" s="256"/>
      <c r="G139" s="256"/>
      <c r="H139" s="257"/>
    </row>
    <row r="140">
      <c r="E140" s="256"/>
      <c r="F140" s="256"/>
      <c r="G140" s="256"/>
      <c r="H140" s="257"/>
    </row>
    <row r="141">
      <c r="E141" s="256"/>
      <c r="F141" s="256"/>
      <c r="G141" s="256"/>
      <c r="H141" s="257"/>
    </row>
    <row r="142">
      <c r="E142" s="256"/>
      <c r="F142" s="256"/>
      <c r="G142" s="256"/>
      <c r="H142" s="257"/>
    </row>
    <row r="143">
      <c r="E143" s="256"/>
      <c r="F143" s="256"/>
      <c r="G143" s="256"/>
      <c r="H143" s="257"/>
    </row>
    <row r="144">
      <c r="E144" s="256"/>
      <c r="F144" s="256"/>
      <c r="G144" s="256"/>
      <c r="H144" s="257"/>
    </row>
    <row r="145">
      <c r="E145" s="256"/>
      <c r="F145" s="256"/>
      <c r="G145" s="256"/>
      <c r="H145" s="257"/>
    </row>
    <row r="146">
      <c r="E146" s="256"/>
      <c r="F146" s="256"/>
      <c r="G146" s="256"/>
      <c r="H146" s="257"/>
    </row>
    <row r="147">
      <c r="E147" s="256"/>
      <c r="F147" s="256"/>
      <c r="G147" s="256"/>
      <c r="H147" s="257"/>
    </row>
    <row r="148">
      <c r="E148" s="256"/>
      <c r="F148" s="256"/>
      <c r="G148" s="256"/>
      <c r="H148" s="257"/>
    </row>
    <row r="149">
      <c r="E149" s="256"/>
      <c r="F149" s="256"/>
      <c r="G149" s="256"/>
      <c r="H149" s="257"/>
    </row>
    <row r="150">
      <c r="E150" s="256"/>
      <c r="F150" s="256"/>
      <c r="G150" s="256"/>
      <c r="H150" s="257"/>
    </row>
    <row r="151">
      <c r="E151" s="256"/>
      <c r="F151" s="256"/>
      <c r="G151" s="256"/>
      <c r="H151" s="257"/>
    </row>
    <row r="152">
      <c r="E152" s="256"/>
      <c r="F152" s="256"/>
      <c r="G152" s="256"/>
      <c r="H152" s="257"/>
    </row>
    <row r="153">
      <c r="E153" s="256"/>
      <c r="F153" s="256"/>
      <c r="G153" s="256"/>
      <c r="H153" s="257"/>
    </row>
    <row r="154">
      <c r="E154" s="256"/>
      <c r="F154" s="256"/>
      <c r="G154" s="256"/>
      <c r="H154" s="257"/>
    </row>
    <row r="155">
      <c r="E155" s="256"/>
      <c r="F155" s="256"/>
      <c r="G155" s="256"/>
      <c r="H155" s="257"/>
    </row>
    <row r="156">
      <c r="E156" s="256"/>
      <c r="F156" s="256"/>
      <c r="G156" s="256"/>
      <c r="H156" s="257"/>
    </row>
    <row r="157">
      <c r="E157" s="256"/>
      <c r="F157" s="256"/>
      <c r="G157" s="256"/>
      <c r="H157" s="257"/>
    </row>
    <row r="158">
      <c r="E158" s="256"/>
      <c r="F158" s="256"/>
      <c r="G158" s="256"/>
      <c r="H158" s="257"/>
    </row>
    <row r="159">
      <c r="E159" s="256"/>
      <c r="F159" s="256"/>
      <c r="G159" s="256"/>
      <c r="H159" s="257"/>
    </row>
    <row r="160">
      <c r="E160" s="256"/>
      <c r="F160" s="256"/>
      <c r="G160" s="256"/>
      <c r="H160" s="257"/>
    </row>
    <row r="161">
      <c r="E161" s="256"/>
      <c r="F161" s="256"/>
      <c r="G161" s="256"/>
      <c r="H161" s="257"/>
    </row>
    <row r="162">
      <c r="E162" s="256"/>
      <c r="F162" s="256"/>
      <c r="G162" s="256"/>
      <c r="H162" s="257"/>
    </row>
    <row r="163">
      <c r="E163" s="256"/>
      <c r="F163" s="256"/>
      <c r="G163" s="256"/>
      <c r="H163" s="257"/>
    </row>
    <row r="164">
      <c r="E164" s="256"/>
      <c r="F164" s="256"/>
      <c r="G164" s="256"/>
      <c r="H164" s="257"/>
    </row>
    <row r="165">
      <c r="E165" s="256"/>
      <c r="F165" s="256"/>
      <c r="G165" s="256"/>
      <c r="H165" s="257"/>
    </row>
    <row r="166">
      <c r="E166" s="256"/>
      <c r="F166" s="256"/>
      <c r="G166" s="256"/>
      <c r="H166" s="257"/>
    </row>
    <row r="167">
      <c r="E167" s="256"/>
      <c r="F167" s="256"/>
      <c r="G167" s="256"/>
      <c r="H167" s="257"/>
    </row>
    <row r="168">
      <c r="E168" s="256"/>
      <c r="F168" s="256"/>
      <c r="G168" s="256"/>
      <c r="H168" s="257"/>
    </row>
    <row r="169">
      <c r="E169" s="256"/>
      <c r="F169" s="256"/>
      <c r="G169" s="256"/>
      <c r="H169" s="257"/>
    </row>
    <row r="170">
      <c r="E170" s="256"/>
      <c r="F170" s="256"/>
      <c r="G170" s="256"/>
      <c r="H170" s="257"/>
    </row>
    <row r="171">
      <c r="E171" s="256"/>
      <c r="F171" s="256"/>
      <c r="G171" s="256"/>
      <c r="H171" s="257"/>
    </row>
    <row r="172">
      <c r="E172" s="256"/>
      <c r="F172" s="256"/>
      <c r="G172" s="256"/>
      <c r="H172" s="257"/>
    </row>
    <row r="173">
      <c r="E173" s="256"/>
      <c r="F173" s="256"/>
      <c r="G173" s="256"/>
      <c r="H173" s="257"/>
    </row>
    <row r="174">
      <c r="E174" s="256"/>
      <c r="F174" s="256"/>
      <c r="G174" s="256"/>
      <c r="H174" s="257"/>
    </row>
    <row r="175">
      <c r="E175" s="256"/>
      <c r="F175" s="256"/>
      <c r="G175" s="256"/>
      <c r="H175" s="257"/>
    </row>
    <row r="176">
      <c r="E176" s="256"/>
      <c r="F176" s="256"/>
      <c r="G176" s="256"/>
      <c r="H176" s="257"/>
    </row>
    <row r="177">
      <c r="E177" s="256"/>
      <c r="F177" s="256"/>
      <c r="G177" s="256"/>
      <c r="H177" s="257"/>
    </row>
    <row r="178">
      <c r="E178" s="256"/>
      <c r="F178" s="256"/>
      <c r="G178" s="256"/>
      <c r="H178" s="257"/>
    </row>
    <row r="179">
      <c r="E179" s="256"/>
      <c r="F179" s="256"/>
      <c r="G179" s="256"/>
      <c r="H179" s="257"/>
    </row>
    <row r="180">
      <c r="E180" s="256"/>
      <c r="F180" s="256"/>
      <c r="G180" s="256"/>
      <c r="H180" s="257"/>
    </row>
    <row r="181">
      <c r="E181" s="256"/>
      <c r="F181" s="256"/>
      <c r="G181" s="256"/>
      <c r="H181" s="257"/>
    </row>
    <row r="182">
      <c r="E182" s="256"/>
      <c r="F182" s="256"/>
      <c r="G182" s="256"/>
      <c r="H182" s="257"/>
    </row>
    <row r="183">
      <c r="E183" s="256"/>
      <c r="F183" s="256"/>
      <c r="G183" s="256"/>
      <c r="H183" s="257"/>
    </row>
    <row r="184">
      <c r="E184" s="256"/>
      <c r="F184" s="256"/>
      <c r="G184" s="256"/>
      <c r="H184" s="257"/>
    </row>
    <row r="185">
      <c r="E185" s="256"/>
      <c r="F185" s="256"/>
      <c r="G185" s="256"/>
      <c r="H185" s="257"/>
    </row>
    <row r="186">
      <c r="E186" s="256"/>
      <c r="F186" s="256"/>
      <c r="G186" s="256"/>
      <c r="H186" s="257"/>
    </row>
    <row r="187">
      <c r="E187" s="256"/>
      <c r="F187" s="256"/>
      <c r="G187" s="256"/>
      <c r="H187" s="257"/>
    </row>
    <row r="188">
      <c r="E188" s="256"/>
      <c r="F188" s="256"/>
      <c r="G188" s="256"/>
      <c r="H188" s="257"/>
    </row>
    <row r="189">
      <c r="E189" s="256"/>
      <c r="F189" s="256"/>
      <c r="G189" s="256"/>
      <c r="H189" s="257"/>
    </row>
    <row r="190">
      <c r="E190" s="256"/>
      <c r="F190" s="256"/>
      <c r="G190" s="256"/>
      <c r="H190" s="257"/>
    </row>
    <row r="191">
      <c r="E191" s="256"/>
      <c r="F191" s="256"/>
      <c r="G191" s="256"/>
      <c r="H191" s="257"/>
    </row>
    <row r="192">
      <c r="E192" s="256"/>
      <c r="F192" s="256"/>
      <c r="G192" s="256"/>
      <c r="H192" s="257"/>
    </row>
    <row r="193">
      <c r="E193" s="256"/>
      <c r="F193" s="256"/>
      <c r="G193" s="256"/>
      <c r="H193" s="257"/>
    </row>
    <row r="194">
      <c r="E194" s="256"/>
      <c r="F194" s="256"/>
      <c r="G194" s="256"/>
      <c r="H194" s="257"/>
    </row>
    <row r="195">
      <c r="E195" s="256"/>
      <c r="F195" s="256"/>
      <c r="G195" s="256"/>
      <c r="H195" s="257"/>
    </row>
    <row r="196">
      <c r="E196" s="256"/>
      <c r="F196" s="256"/>
      <c r="G196" s="256"/>
      <c r="H196" s="257"/>
    </row>
    <row r="197">
      <c r="E197" s="256"/>
      <c r="F197" s="256"/>
      <c r="G197" s="256"/>
      <c r="H197" s="257"/>
    </row>
    <row r="198">
      <c r="E198" s="256"/>
      <c r="F198" s="256"/>
      <c r="G198" s="256"/>
      <c r="H198" s="257"/>
    </row>
    <row r="199">
      <c r="E199" s="256"/>
      <c r="F199" s="256"/>
      <c r="G199" s="256"/>
      <c r="H199" s="257"/>
    </row>
    <row r="200">
      <c r="E200" s="256"/>
      <c r="F200" s="256"/>
      <c r="G200" s="256"/>
      <c r="H200" s="257"/>
    </row>
    <row r="201">
      <c r="E201" s="256"/>
      <c r="F201" s="256"/>
      <c r="G201" s="256"/>
      <c r="H201" s="257"/>
    </row>
    <row r="202">
      <c r="E202" s="256"/>
      <c r="F202" s="256"/>
      <c r="G202" s="256"/>
      <c r="H202" s="257"/>
    </row>
    <row r="203">
      <c r="E203" s="256"/>
      <c r="F203" s="256"/>
      <c r="G203" s="256"/>
      <c r="H203" s="257"/>
    </row>
    <row r="204">
      <c r="E204" s="256"/>
      <c r="F204" s="256"/>
      <c r="G204" s="256"/>
      <c r="H204" s="257"/>
    </row>
    <row r="205">
      <c r="E205" s="256"/>
      <c r="F205" s="256"/>
      <c r="G205" s="256"/>
      <c r="H205" s="257"/>
    </row>
    <row r="206">
      <c r="E206" s="256"/>
      <c r="F206" s="256"/>
      <c r="G206" s="256"/>
      <c r="H206" s="257"/>
    </row>
    <row r="207">
      <c r="E207" s="256"/>
      <c r="F207" s="256"/>
      <c r="G207" s="256"/>
      <c r="H207" s="257"/>
    </row>
    <row r="208">
      <c r="E208" s="256"/>
      <c r="F208" s="256"/>
      <c r="G208" s="256"/>
      <c r="H208" s="257"/>
    </row>
    <row r="209">
      <c r="E209" s="256"/>
      <c r="F209" s="256"/>
      <c r="G209" s="256"/>
      <c r="H209" s="257"/>
    </row>
    <row r="210">
      <c r="E210" s="256"/>
      <c r="F210" s="256"/>
      <c r="G210" s="256"/>
      <c r="H210" s="257"/>
    </row>
    <row r="211">
      <c r="E211" s="256"/>
      <c r="F211" s="256"/>
      <c r="G211" s="256"/>
      <c r="H211" s="257"/>
    </row>
    <row r="212">
      <c r="E212" s="256"/>
      <c r="F212" s="256"/>
      <c r="G212" s="256"/>
      <c r="H212" s="257"/>
    </row>
    <row r="213">
      <c r="E213" s="256"/>
      <c r="F213" s="256"/>
      <c r="G213" s="256"/>
      <c r="H213" s="257"/>
    </row>
    <row r="214">
      <c r="E214" s="256"/>
      <c r="F214" s="256"/>
      <c r="G214" s="256"/>
      <c r="H214" s="257"/>
    </row>
    <row r="215">
      <c r="E215" s="256"/>
      <c r="F215" s="256"/>
      <c r="G215" s="256"/>
      <c r="H215" s="257"/>
    </row>
    <row r="216">
      <c r="E216" s="256"/>
      <c r="F216" s="256"/>
      <c r="G216" s="256"/>
      <c r="H216" s="257"/>
    </row>
    <row r="217">
      <c r="E217" s="256"/>
      <c r="F217" s="256"/>
      <c r="G217" s="256"/>
      <c r="H217" s="257"/>
    </row>
    <row r="218">
      <c r="E218" s="256"/>
      <c r="F218" s="256"/>
      <c r="G218" s="256"/>
      <c r="H218" s="257"/>
    </row>
    <row r="219">
      <c r="E219" s="256"/>
      <c r="F219" s="256"/>
      <c r="G219" s="256"/>
      <c r="H219" s="257"/>
    </row>
    <row r="220">
      <c r="E220" s="256"/>
      <c r="F220" s="256"/>
      <c r="G220" s="256"/>
      <c r="H220" s="257"/>
    </row>
    <row r="221">
      <c r="E221" s="256"/>
      <c r="F221" s="256"/>
      <c r="G221" s="256"/>
      <c r="H221" s="257"/>
    </row>
    <row r="222">
      <c r="E222" s="256"/>
      <c r="F222" s="256"/>
      <c r="G222" s="256"/>
      <c r="H222" s="257"/>
    </row>
    <row r="223">
      <c r="E223" s="256"/>
      <c r="F223" s="256"/>
      <c r="G223" s="256"/>
      <c r="H223" s="257"/>
    </row>
    <row r="224">
      <c r="E224" s="256"/>
      <c r="F224" s="256"/>
      <c r="G224" s="256"/>
      <c r="H224" s="257"/>
    </row>
    <row r="225">
      <c r="E225" s="256"/>
      <c r="F225" s="256"/>
      <c r="G225" s="256"/>
      <c r="H225" s="257"/>
    </row>
    <row r="226">
      <c r="E226" s="256"/>
      <c r="F226" s="256"/>
      <c r="G226" s="256"/>
      <c r="H226" s="257"/>
    </row>
    <row r="227">
      <c r="E227" s="256"/>
      <c r="F227" s="256"/>
      <c r="G227" s="256"/>
      <c r="H227" s="257"/>
    </row>
    <row r="228">
      <c r="E228" s="256"/>
      <c r="F228" s="256"/>
      <c r="G228" s="256"/>
      <c r="H228" s="257"/>
    </row>
    <row r="229">
      <c r="E229" s="256"/>
      <c r="F229" s="256"/>
      <c r="G229" s="256"/>
      <c r="H229" s="257"/>
    </row>
    <row r="230">
      <c r="E230" s="256"/>
      <c r="F230" s="256"/>
      <c r="G230" s="256"/>
      <c r="H230" s="257"/>
    </row>
    <row r="231">
      <c r="E231" s="256"/>
      <c r="F231" s="256"/>
      <c r="G231" s="256"/>
      <c r="H231" s="257"/>
    </row>
    <row r="232">
      <c r="E232" s="256"/>
      <c r="F232" s="256"/>
      <c r="G232" s="256"/>
      <c r="H232" s="257"/>
    </row>
    <row r="233">
      <c r="E233" s="256"/>
      <c r="F233" s="256"/>
      <c r="G233" s="256"/>
      <c r="H233" s="257"/>
    </row>
    <row r="234">
      <c r="E234" s="256"/>
      <c r="F234" s="256"/>
      <c r="G234" s="256"/>
      <c r="H234" s="257"/>
    </row>
    <row r="235">
      <c r="E235" s="256"/>
      <c r="F235" s="256"/>
      <c r="G235" s="256"/>
      <c r="H235" s="257"/>
    </row>
    <row r="236">
      <c r="E236" s="256"/>
      <c r="F236" s="256"/>
      <c r="G236" s="256"/>
      <c r="H236" s="257"/>
    </row>
    <row r="237">
      <c r="E237" s="256"/>
      <c r="F237" s="256"/>
      <c r="G237" s="256"/>
      <c r="H237" s="257"/>
    </row>
    <row r="238">
      <c r="E238" s="256"/>
      <c r="F238" s="256"/>
      <c r="G238" s="256"/>
      <c r="H238" s="257"/>
    </row>
    <row r="239">
      <c r="E239" s="256"/>
      <c r="F239" s="256"/>
      <c r="G239" s="256"/>
      <c r="H239" s="257"/>
    </row>
    <row r="240">
      <c r="E240" s="256"/>
      <c r="F240" s="256"/>
      <c r="G240" s="256"/>
      <c r="H240" s="257"/>
    </row>
    <row r="241">
      <c r="E241" s="256"/>
      <c r="F241" s="256"/>
      <c r="G241" s="256"/>
      <c r="H241" s="257"/>
    </row>
    <row r="242">
      <c r="E242" s="256"/>
      <c r="F242" s="256"/>
      <c r="G242" s="256"/>
      <c r="H242" s="257"/>
    </row>
    <row r="243">
      <c r="E243" s="256"/>
      <c r="F243" s="256"/>
      <c r="G243" s="256"/>
      <c r="H243" s="257"/>
    </row>
    <row r="244">
      <c r="E244" s="256"/>
      <c r="F244" s="256"/>
      <c r="G244" s="256"/>
      <c r="H244" s="257"/>
    </row>
    <row r="245">
      <c r="E245" s="256"/>
      <c r="F245" s="256"/>
      <c r="G245" s="256"/>
      <c r="H245" s="257"/>
    </row>
    <row r="246">
      <c r="E246" s="256"/>
      <c r="F246" s="256"/>
      <c r="G246" s="256"/>
      <c r="H246" s="257"/>
    </row>
    <row r="247">
      <c r="E247" s="256"/>
      <c r="F247" s="256"/>
      <c r="G247" s="256"/>
      <c r="H247" s="257"/>
    </row>
    <row r="248">
      <c r="E248" s="256"/>
      <c r="F248" s="256"/>
      <c r="G248" s="256"/>
      <c r="H248" s="257"/>
    </row>
    <row r="249">
      <c r="E249" s="256"/>
      <c r="F249" s="256"/>
      <c r="G249" s="256"/>
      <c r="H249" s="257"/>
    </row>
    <row r="250">
      <c r="E250" s="256"/>
      <c r="F250" s="256"/>
      <c r="G250" s="256"/>
      <c r="H250" s="257"/>
    </row>
    <row r="251">
      <c r="E251" s="256"/>
      <c r="F251" s="256"/>
      <c r="G251" s="256"/>
      <c r="H251" s="257"/>
    </row>
    <row r="252">
      <c r="E252" s="256"/>
      <c r="F252" s="256"/>
      <c r="G252" s="256"/>
      <c r="H252" s="257"/>
    </row>
    <row r="253">
      <c r="E253" s="256"/>
      <c r="F253" s="256"/>
      <c r="G253" s="256"/>
      <c r="H253" s="257"/>
    </row>
    <row r="254">
      <c r="E254" s="256"/>
      <c r="F254" s="256"/>
      <c r="G254" s="256"/>
      <c r="H254" s="257"/>
    </row>
    <row r="255">
      <c r="E255" s="256"/>
      <c r="F255" s="256"/>
      <c r="G255" s="256"/>
      <c r="H255" s="257"/>
    </row>
    <row r="256">
      <c r="E256" s="256"/>
      <c r="F256" s="256"/>
      <c r="G256" s="256"/>
      <c r="H256" s="257"/>
    </row>
    <row r="257">
      <c r="E257" s="256"/>
      <c r="F257" s="256"/>
      <c r="G257" s="256"/>
      <c r="H257" s="257"/>
    </row>
    <row r="258">
      <c r="E258" s="256"/>
      <c r="F258" s="256"/>
      <c r="G258" s="256"/>
      <c r="H258" s="257"/>
    </row>
    <row r="259">
      <c r="E259" s="256"/>
      <c r="F259" s="256"/>
      <c r="G259" s="256"/>
      <c r="H259" s="257"/>
    </row>
    <row r="260">
      <c r="E260" s="256"/>
      <c r="F260" s="256"/>
      <c r="G260" s="256"/>
      <c r="H260" s="257"/>
    </row>
    <row r="261">
      <c r="E261" s="256"/>
      <c r="F261" s="256"/>
      <c r="G261" s="256"/>
      <c r="H261" s="257"/>
    </row>
    <row r="262">
      <c r="E262" s="256"/>
      <c r="F262" s="256"/>
      <c r="G262" s="256"/>
      <c r="H262" s="257"/>
    </row>
    <row r="263">
      <c r="E263" s="256"/>
      <c r="F263" s="256"/>
      <c r="G263" s="256"/>
      <c r="H263" s="257"/>
    </row>
    <row r="264">
      <c r="E264" s="256"/>
      <c r="F264" s="256"/>
      <c r="G264" s="256"/>
      <c r="H264" s="257"/>
    </row>
    <row r="265">
      <c r="E265" s="256"/>
      <c r="F265" s="256"/>
      <c r="G265" s="256"/>
      <c r="H265" s="257"/>
    </row>
    <row r="266">
      <c r="E266" s="256"/>
      <c r="F266" s="256"/>
      <c r="G266" s="256"/>
      <c r="H266" s="257"/>
    </row>
    <row r="267">
      <c r="E267" s="256"/>
      <c r="F267" s="256"/>
      <c r="G267" s="256"/>
      <c r="H267" s="257"/>
    </row>
    <row r="268">
      <c r="E268" s="256"/>
      <c r="F268" s="256"/>
      <c r="G268" s="256"/>
      <c r="H268" s="257"/>
    </row>
    <row r="269">
      <c r="E269" s="256"/>
      <c r="F269" s="256"/>
      <c r="G269" s="256"/>
      <c r="H269" s="257"/>
    </row>
    <row r="270">
      <c r="E270" s="256"/>
      <c r="F270" s="256"/>
      <c r="G270" s="256"/>
      <c r="H270" s="257"/>
    </row>
    <row r="271">
      <c r="E271" s="256"/>
      <c r="F271" s="256"/>
      <c r="G271" s="256"/>
      <c r="H271" s="257"/>
    </row>
    <row r="272">
      <c r="E272" s="256"/>
      <c r="F272" s="256"/>
      <c r="G272" s="256"/>
      <c r="H272" s="257"/>
    </row>
    <row r="273">
      <c r="E273" s="256"/>
      <c r="F273" s="256"/>
      <c r="G273" s="256"/>
      <c r="H273" s="257"/>
    </row>
    <row r="274">
      <c r="E274" s="256"/>
      <c r="F274" s="256"/>
      <c r="G274" s="256"/>
      <c r="H274" s="257"/>
    </row>
    <row r="275">
      <c r="E275" s="256"/>
      <c r="F275" s="256"/>
      <c r="G275" s="256"/>
      <c r="H275" s="257"/>
    </row>
    <row r="276">
      <c r="E276" s="256"/>
      <c r="F276" s="256"/>
      <c r="G276" s="256"/>
      <c r="H276" s="257"/>
    </row>
    <row r="277">
      <c r="E277" s="256"/>
      <c r="F277" s="256"/>
      <c r="G277" s="256"/>
      <c r="H277" s="257"/>
    </row>
    <row r="278">
      <c r="E278" s="256"/>
      <c r="F278" s="256"/>
      <c r="G278" s="256"/>
      <c r="H278" s="257"/>
    </row>
    <row r="279">
      <c r="E279" s="256"/>
      <c r="F279" s="256"/>
      <c r="G279" s="256"/>
      <c r="H279" s="257"/>
    </row>
    <row r="280">
      <c r="E280" s="256"/>
      <c r="F280" s="256"/>
      <c r="G280" s="256"/>
      <c r="H280" s="257"/>
    </row>
    <row r="281">
      <c r="E281" s="256"/>
      <c r="F281" s="256"/>
      <c r="G281" s="256"/>
      <c r="H281" s="257"/>
    </row>
    <row r="282">
      <c r="E282" s="256"/>
      <c r="F282" s="256"/>
      <c r="G282" s="256"/>
      <c r="H282" s="257"/>
    </row>
    <row r="283">
      <c r="E283" s="256"/>
      <c r="F283" s="256"/>
      <c r="G283" s="256"/>
      <c r="H283" s="257"/>
    </row>
    <row r="284">
      <c r="E284" s="256"/>
      <c r="F284" s="256"/>
      <c r="G284" s="256"/>
      <c r="H284" s="257"/>
    </row>
    <row r="285">
      <c r="E285" s="256"/>
      <c r="F285" s="256"/>
      <c r="G285" s="256"/>
      <c r="H285" s="257"/>
    </row>
    <row r="286">
      <c r="E286" s="256"/>
      <c r="F286" s="256"/>
      <c r="G286" s="256"/>
      <c r="H286" s="257"/>
    </row>
    <row r="287">
      <c r="E287" s="256"/>
      <c r="F287" s="256"/>
      <c r="G287" s="256"/>
      <c r="H287" s="257"/>
    </row>
    <row r="288">
      <c r="E288" s="256"/>
      <c r="F288" s="256"/>
      <c r="G288" s="256"/>
      <c r="H288" s="257"/>
    </row>
    <row r="289">
      <c r="E289" s="256"/>
      <c r="F289" s="256"/>
      <c r="G289" s="256"/>
      <c r="H289" s="257"/>
    </row>
    <row r="290">
      <c r="E290" s="256"/>
      <c r="F290" s="256"/>
      <c r="G290" s="256"/>
      <c r="H290" s="257"/>
    </row>
    <row r="291">
      <c r="E291" s="256"/>
      <c r="F291" s="256"/>
      <c r="G291" s="256"/>
      <c r="H291" s="257"/>
    </row>
    <row r="292">
      <c r="E292" s="256"/>
      <c r="F292" s="256"/>
      <c r="G292" s="256"/>
      <c r="H292" s="257"/>
    </row>
    <row r="293">
      <c r="E293" s="256"/>
      <c r="F293" s="256"/>
      <c r="G293" s="256"/>
      <c r="H293" s="257"/>
    </row>
    <row r="294">
      <c r="E294" s="256"/>
      <c r="F294" s="256"/>
      <c r="G294" s="256"/>
      <c r="H294" s="257"/>
    </row>
    <row r="295">
      <c r="E295" s="256"/>
      <c r="F295" s="256"/>
      <c r="G295" s="256"/>
      <c r="H295" s="257"/>
    </row>
    <row r="296">
      <c r="E296" s="256"/>
      <c r="F296" s="256"/>
      <c r="G296" s="256"/>
      <c r="H296" s="257"/>
    </row>
    <row r="297">
      <c r="E297" s="256"/>
      <c r="F297" s="256"/>
      <c r="G297" s="256"/>
      <c r="H297" s="257"/>
    </row>
    <row r="298">
      <c r="E298" s="256"/>
      <c r="F298" s="256"/>
      <c r="G298" s="256"/>
      <c r="H298" s="257"/>
    </row>
    <row r="299">
      <c r="E299" s="256"/>
      <c r="F299" s="256"/>
      <c r="G299" s="256"/>
      <c r="H299" s="257"/>
    </row>
    <row r="300">
      <c r="E300" s="256"/>
      <c r="F300" s="256"/>
      <c r="G300" s="256"/>
      <c r="H300" s="257"/>
    </row>
    <row r="301">
      <c r="E301" s="256"/>
      <c r="F301" s="256"/>
      <c r="G301" s="256"/>
      <c r="H301" s="257"/>
    </row>
    <row r="302">
      <c r="E302" s="256"/>
      <c r="F302" s="256"/>
      <c r="G302" s="256"/>
      <c r="H302" s="257"/>
    </row>
    <row r="303">
      <c r="E303" s="256"/>
      <c r="F303" s="256"/>
      <c r="G303" s="256"/>
      <c r="H303" s="257"/>
    </row>
    <row r="304">
      <c r="E304" s="256"/>
      <c r="F304" s="256"/>
      <c r="G304" s="256"/>
      <c r="H304" s="257"/>
    </row>
    <row r="305">
      <c r="E305" s="256"/>
      <c r="F305" s="256"/>
      <c r="G305" s="256"/>
      <c r="H305" s="257"/>
    </row>
    <row r="306">
      <c r="E306" s="256"/>
      <c r="F306" s="256"/>
      <c r="G306" s="256"/>
      <c r="H306" s="257"/>
    </row>
    <row r="307">
      <c r="E307" s="256"/>
      <c r="F307" s="256"/>
      <c r="G307" s="256"/>
      <c r="H307" s="257"/>
    </row>
    <row r="308">
      <c r="E308" s="256"/>
      <c r="F308" s="256"/>
      <c r="G308" s="256"/>
      <c r="H308" s="257"/>
    </row>
    <row r="309">
      <c r="E309" s="256"/>
      <c r="F309" s="256"/>
      <c r="G309" s="256"/>
      <c r="H309" s="257"/>
    </row>
    <row r="310">
      <c r="E310" s="256"/>
      <c r="F310" s="256"/>
      <c r="G310" s="256"/>
      <c r="H310" s="257"/>
    </row>
    <row r="311">
      <c r="E311" s="256"/>
      <c r="F311" s="256"/>
      <c r="G311" s="256"/>
      <c r="H311" s="257"/>
    </row>
    <row r="312">
      <c r="E312" s="256"/>
      <c r="F312" s="256"/>
      <c r="G312" s="256"/>
      <c r="H312" s="257"/>
    </row>
    <row r="313">
      <c r="E313" s="256"/>
      <c r="F313" s="256"/>
      <c r="G313" s="256"/>
      <c r="H313" s="257"/>
    </row>
    <row r="314">
      <c r="E314" s="256"/>
      <c r="F314" s="256"/>
      <c r="G314" s="256"/>
      <c r="H314" s="257"/>
    </row>
    <row r="315">
      <c r="E315" s="256"/>
      <c r="F315" s="256"/>
      <c r="G315" s="256"/>
      <c r="H315" s="257"/>
    </row>
    <row r="316">
      <c r="E316" s="256"/>
      <c r="F316" s="256"/>
      <c r="G316" s="256"/>
      <c r="H316" s="257"/>
    </row>
    <row r="317">
      <c r="E317" s="256"/>
      <c r="F317" s="256"/>
      <c r="G317" s="256"/>
      <c r="H317" s="257"/>
    </row>
    <row r="318">
      <c r="E318" s="256"/>
      <c r="F318" s="256"/>
      <c r="G318" s="256"/>
      <c r="H318" s="257"/>
    </row>
    <row r="319">
      <c r="E319" s="256"/>
      <c r="F319" s="256"/>
      <c r="G319" s="256"/>
      <c r="H319" s="257"/>
    </row>
    <row r="320">
      <c r="E320" s="256"/>
      <c r="F320" s="256"/>
      <c r="G320" s="256"/>
      <c r="H320" s="257"/>
    </row>
    <row r="321">
      <c r="E321" s="256"/>
      <c r="F321" s="256"/>
      <c r="G321" s="256"/>
      <c r="H321" s="257"/>
    </row>
    <row r="322">
      <c r="E322" s="256"/>
      <c r="F322" s="256"/>
      <c r="G322" s="256"/>
      <c r="H322" s="257"/>
    </row>
    <row r="323">
      <c r="E323" s="256"/>
      <c r="F323" s="256"/>
      <c r="G323" s="256"/>
      <c r="H323" s="257"/>
    </row>
    <row r="324">
      <c r="E324" s="256"/>
      <c r="F324" s="256"/>
      <c r="G324" s="256"/>
      <c r="H324" s="257"/>
    </row>
    <row r="325">
      <c r="E325" s="256"/>
      <c r="F325" s="256"/>
      <c r="G325" s="256"/>
      <c r="H325" s="257"/>
    </row>
    <row r="326">
      <c r="E326" s="256"/>
      <c r="F326" s="256"/>
      <c r="G326" s="256"/>
      <c r="H326" s="257"/>
    </row>
    <row r="327">
      <c r="E327" s="256"/>
      <c r="F327" s="256"/>
      <c r="G327" s="256"/>
      <c r="H327" s="257"/>
    </row>
    <row r="328">
      <c r="E328" s="256"/>
      <c r="F328" s="256"/>
      <c r="G328" s="256"/>
      <c r="H328" s="257"/>
    </row>
    <row r="329">
      <c r="E329" s="256"/>
      <c r="F329" s="256"/>
      <c r="G329" s="256"/>
      <c r="H329" s="257"/>
    </row>
    <row r="330">
      <c r="E330" s="256"/>
      <c r="F330" s="256"/>
      <c r="G330" s="256"/>
      <c r="H330" s="257"/>
    </row>
    <row r="331">
      <c r="E331" s="256"/>
      <c r="F331" s="256"/>
      <c r="G331" s="256"/>
      <c r="H331" s="257"/>
    </row>
    <row r="332">
      <c r="E332" s="256"/>
      <c r="F332" s="256"/>
      <c r="G332" s="256"/>
      <c r="H332" s="257"/>
    </row>
    <row r="333">
      <c r="E333" s="256"/>
      <c r="F333" s="256"/>
      <c r="G333" s="256"/>
      <c r="H333" s="257"/>
    </row>
    <row r="334">
      <c r="E334" s="256"/>
      <c r="F334" s="256"/>
      <c r="G334" s="256"/>
      <c r="H334" s="257"/>
    </row>
    <row r="335">
      <c r="E335" s="256"/>
      <c r="F335" s="256"/>
      <c r="G335" s="256"/>
      <c r="H335" s="257"/>
    </row>
    <row r="336">
      <c r="E336" s="256"/>
      <c r="F336" s="256"/>
      <c r="G336" s="256"/>
      <c r="H336" s="257"/>
    </row>
    <row r="337">
      <c r="E337" s="256"/>
      <c r="F337" s="256"/>
      <c r="G337" s="256"/>
      <c r="H337" s="257"/>
    </row>
    <row r="338">
      <c r="E338" s="256"/>
      <c r="F338" s="256"/>
      <c r="G338" s="256"/>
      <c r="H338" s="257"/>
    </row>
    <row r="339">
      <c r="E339" s="256"/>
      <c r="F339" s="256"/>
      <c r="G339" s="256"/>
      <c r="H339" s="257"/>
    </row>
    <row r="340">
      <c r="E340" s="256"/>
      <c r="F340" s="256"/>
      <c r="G340" s="256"/>
      <c r="H340" s="257"/>
    </row>
    <row r="341">
      <c r="E341" s="256"/>
      <c r="F341" s="256"/>
      <c r="G341" s="256"/>
      <c r="H341" s="257"/>
    </row>
    <row r="342">
      <c r="E342" s="256"/>
      <c r="F342" s="256"/>
      <c r="G342" s="256"/>
      <c r="H342" s="257"/>
    </row>
    <row r="343">
      <c r="E343" s="256"/>
      <c r="F343" s="256"/>
      <c r="G343" s="256"/>
      <c r="H343" s="257"/>
    </row>
    <row r="344">
      <c r="E344" s="256"/>
      <c r="F344" s="256"/>
      <c r="G344" s="256"/>
      <c r="H344" s="257"/>
    </row>
    <row r="345">
      <c r="E345" s="256"/>
      <c r="F345" s="256"/>
      <c r="G345" s="256"/>
      <c r="H345" s="257"/>
    </row>
    <row r="346">
      <c r="E346" s="256"/>
      <c r="F346" s="256"/>
      <c r="G346" s="256"/>
      <c r="H346" s="257"/>
    </row>
    <row r="347">
      <c r="E347" s="256"/>
      <c r="F347" s="256"/>
      <c r="G347" s="256"/>
      <c r="H347" s="257"/>
    </row>
    <row r="348">
      <c r="E348" s="256"/>
      <c r="F348" s="256"/>
      <c r="G348" s="256"/>
      <c r="H348" s="257"/>
    </row>
    <row r="349">
      <c r="E349" s="256"/>
      <c r="F349" s="256"/>
      <c r="G349" s="256"/>
      <c r="H349" s="257"/>
    </row>
    <row r="350">
      <c r="E350" s="256"/>
      <c r="F350" s="256"/>
      <c r="G350" s="256"/>
      <c r="H350" s="257"/>
    </row>
    <row r="351">
      <c r="E351" s="256"/>
      <c r="F351" s="256"/>
      <c r="G351" s="256"/>
      <c r="H351" s="257"/>
    </row>
    <row r="352">
      <c r="E352" s="256"/>
      <c r="F352" s="256"/>
      <c r="G352" s="256"/>
      <c r="H352" s="257"/>
    </row>
    <row r="353">
      <c r="E353" s="256"/>
      <c r="F353" s="256"/>
      <c r="G353" s="256"/>
      <c r="H353" s="257"/>
    </row>
    <row r="354">
      <c r="E354" s="256"/>
      <c r="F354" s="256"/>
      <c r="G354" s="256"/>
      <c r="H354" s="257"/>
    </row>
    <row r="355">
      <c r="E355" s="256"/>
      <c r="F355" s="256"/>
      <c r="G355" s="256"/>
      <c r="H355" s="257"/>
    </row>
    <row r="356">
      <c r="E356" s="256"/>
      <c r="F356" s="256"/>
      <c r="G356" s="256"/>
      <c r="H356" s="257"/>
    </row>
    <row r="357">
      <c r="E357" s="256"/>
      <c r="F357" s="256"/>
      <c r="G357" s="256"/>
      <c r="H357" s="257"/>
    </row>
    <row r="358">
      <c r="E358" s="256"/>
      <c r="F358" s="256"/>
      <c r="G358" s="256"/>
      <c r="H358" s="257"/>
    </row>
    <row r="359">
      <c r="E359" s="256"/>
      <c r="F359" s="256"/>
      <c r="G359" s="256"/>
      <c r="H359" s="257"/>
    </row>
    <row r="360">
      <c r="E360" s="256"/>
      <c r="F360" s="256"/>
      <c r="G360" s="256"/>
      <c r="H360" s="257"/>
    </row>
    <row r="361">
      <c r="E361" s="256"/>
      <c r="F361" s="256"/>
      <c r="G361" s="256"/>
      <c r="H361" s="257"/>
    </row>
    <row r="362">
      <c r="E362" s="256"/>
      <c r="F362" s="256"/>
      <c r="G362" s="256"/>
      <c r="H362" s="257"/>
    </row>
    <row r="363">
      <c r="E363" s="256"/>
      <c r="F363" s="256"/>
      <c r="G363" s="256"/>
      <c r="H363" s="257"/>
    </row>
    <row r="364">
      <c r="E364" s="256"/>
      <c r="F364" s="256"/>
      <c r="G364" s="256"/>
      <c r="H364" s="257"/>
    </row>
    <row r="365">
      <c r="E365" s="256"/>
      <c r="F365" s="256"/>
      <c r="G365" s="256"/>
      <c r="H365" s="257"/>
    </row>
    <row r="366">
      <c r="E366" s="256"/>
      <c r="F366" s="256"/>
      <c r="G366" s="256"/>
      <c r="H366" s="257"/>
    </row>
    <row r="367">
      <c r="E367" s="256"/>
      <c r="F367" s="256"/>
      <c r="G367" s="256"/>
      <c r="H367" s="257"/>
    </row>
    <row r="368">
      <c r="E368" s="256"/>
      <c r="F368" s="256"/>
      <c r="G368" s="256"/>
      <c r="H368" s="257"/>
    </row>
    <row r="369">
      <c r="E369" s="256"/>
      <c r="F369" s="256"/>
      <c r="G369" s="256"/>
      <c r="H369" s="257"/>
    </row>
    <row r="370">
      <c r="E370" s="256"/>
      <c r="F370" s="256"/>
      <c r="G370" s="256"/>
      <c r="H370" s="257"/>
    </row>
    <row r="371">
      <c r="E371" s="256"/>
      <c r="F371" s="256"/>
      <c r="G371" s="256"/>
      <c r="H371" s="257"/>
    </row>
    <row r="372">
      <c r="E372" s="256"/>
      <c r="F372" s="256"/>
      <c r="G372" s="256"/>
      <c r="H372" s="257"/>
    </row>
    <row r="373">
      <c r="E373" s="256"/>
      <c r="F373" s="256"/>
      <c r="G373" s="256"/>
      <c r="H373" s="257"/>
    </row>
    <row r="374">
      <c r="E374" s="256"/>
      <c r="F374" s="256"/>
      <c r="G374" s="256"/>
      <c r="H374" s="257"/>
    </row>
    <row r="375">
      <c r="E375" s="256"/>
      <c r="F375" s="256"/>
      <c r="G375" s="256"/>
      <c r="H375" s="257"/>
    </row>
    <row r="376">
      <c r="E376" s="256"/>
      <c r="F376" s="256"/>
      <c r="G376" s="256"/>
      <c r="H376" s="257"/>
    </row>
    <row r="377">
      <c r="E377" s="256"/>
      <c r="F377" s="256"/>
      <c r="G377" s="256"/>
      <c r="H377" s="257"/>
    </row>
    <row r="378">
      <c r="E378" s="256"/>
      <c r="F378" s="256"/>
      <c r="G378" s="256"/>
      <c r="H378" s="257"/>
    </row>
    <row r="379">
      <c r="E379" s="256"/>
      <c r="F379" s="256"/>
      <c r="G379" s="256"/>
      <c r="H379" s="257"/>
    </row>
    <row r="380">
      <c r="E380" s="256"/>
      <c r="F380" s="256"/>
      <c r="G380" s="256"/>
      <c r="H380" s="257"/>
    </row>
    <row r="381">
      <c r="E381" s="256"/>
      <c r="F381" s="256"/>
      <c r="G381" s="256"/>
      <c r="H381" s="257"/>
    </row>
    <row r="382">
      <c r="E382" s="256"/>
      <c r="F382" s="256"/>
      <c r="G382" s="256"/>
      <c r="H382" s="257"/>
    </row>
    <row r="383">
      <c r="E383" s="256"/>
      <c r="F383" s="256"/>
      <c r="G383" s="256"/>
      <c r="H383" s="257"/>
    </row>
    <row r="384">
      <c r="E384" s="256"/>
      <c r="F384" s="256"/>
      <c r="G384" s="256"/>
      <c r="H384" s="257"/>
    </row>
    <row r="385">
      <c r="E385" s="256"/>
      <c r="F385" s="256"/>
      <c r="G385" s="256"/>
      <c r="H385" s="257"/>
    </row>
    <row r="386">
      <c r="E386" s="256"/>
      <c r="F386" s="256"/>
      <c r="G386" s="256"/>
      <c r="H386" s="257"/>
    </row>
    <row r="387">
      <c r="E387" s="256"/>
      <c r="F387" s="256"/>
      <c r="G387" s="256"/>
      <c r="H387" s="257"/>
    </row>
    <row r="388">
      <c r="E388" s="256"/>
      <c r="F388" s="256"/>
      <c r="G388" s="256"/>
      <c r="H388" s="257"/>
    </row>
    <row r="389">
      <c r="E389" s="256"/>
      <c r="F389" s="256"/>
      <c r="G389" s="256"/>
      <c r="H389" s="257"/>
    </row>
    <row r="390">
      <c r="E390" s="256"/>
      <c r="F390" s="256"/>
      <c r="G390" s="256"/>
      <c r="H390" s="257"/>
    </row>
    <row r="391">
      <c r="E391" s="256"/>
      <c r="F391" s="256"/>
      <c r="G391" s="256"/>
      <c r="H391" s="257"/>
    </row>
    <row r="392">
      <c r="E392" s="256"/>
      <c r="F392" s="256"/>
      <c r="G392" s="256"/>
      <c r="H392" s="257"/>
    </row>
    <row r="393">
      <c r="E393" s="256"/>
      <c r="F393" s="256"/>
      <c r="G393" s="256"/>
      <c r="H393" s="257"/>
    </row>
    <row r="394">
      <c r="E394" s="256"/>
      <c r="F394" s="256"/>
      <c r="G394" s="256"/>
      <c r="H394" s="257"/>
    </row>
    <row r="395">
      <c r="E395" s="256"/>
      <c r="F395" s="256"/>
      <c r="G395" s="256"/>
      <c r="H395" s="257"/>
    </row>
    <row r="396">
      <c r="E396" s="256"/>
      <c r="F396" s="256"/>
      <c r="G396" s="256"/>
      <c r="H396" s="257"/>
    </row>
    <row r="397">
      <c r="E397" s="256"/>
      <c r="F397" s="256"/>
      <c r="G397" s="256"/>
      <c r="H397" s="257"/>
    </row>
    <row r="398">
      <c r="E398" s="256"/>
      <c r="F398" s="256"/>
      <c r="G398" s="256"/>
      <c r="H398" s="257"/>
    </row>
    <row r="399">
      <c r="E399" s="256"/>
      <c r="F399" s="256"/>
      <c r="G399" s="256"/>
      <c r="H399" s="257"/>
    </row>
    <row r="400">
      <c r="E400" s="256"/>
      <c r="F400" s="256"/>
      <c r="G400" s="256"/>
      <c r="H400" s="257"/>
    </row>
    <row r="401">
      <c r="E401" s="256"/>
      <c r="F401" s="256"/>
      <c r="G401" s="256"/>
      <c r="H401" s="257"/>
    </row>
    <row r="402">
      <c r="E402" s="256"/>
      <c r="F402" s="256"/>
      <c r="G402" s="256"/>
      <c r="H402" s="257"/>
    </row>
    <row r="403">
      <c r="E403" s="256"/>
      <c r="F403" s="256"/>
      <c r="G403" s="256"/>
      <c r="H403" s="257"/>
    </row>
    <row r="404">
      <c r="E404" s="256"/>
      <c r="F404" s="256"/>
      <c r="G404" s="256"/>
      <c r="H404" s="257"/>
    </row>
    <row r="405">
      <c r="E405" s="256"/>
      <c r="F405" s="256"/>
      <c r="G405" s="256"/>
      <c r="H405" s="257"/>
    </row>
    <row r="406">
      <c r="E406" s="256"/>
      <c r="F406" s="256"/>
      <c r="G406" s="256"/>
      <c r="H406" s="257"/>
    </row>
    <row r="407">
      <c r="E407" s="256"/>
      <c r="F407" s="256"/>
      <c r="G407" s="256"/>
      <c r="H407" s="257"/>
    </row>
    <row r="408">
      <c r="E408" s="256"/>
      <c r="F408" s="256"/>
      <c r="G408" s="256"/>
      <c r="H408" s="257"/>
    </row>
    <row r="409">
      <c r="E409" s="256"/>
      <c r="F409" s="256"/>
      <c r="G409" s="256"/>
      <c r="H409" s="257"/>
    </row>
    <row r="410">
      <c r="E410" s="256"/>
      <c r="F410" s="256"/>
      <c r="G410" s="256"/>
      <c r="H410" s="257"/>
    </row>
    <row r="411">
      <c r="E411" s="256"/>
      <c r="F411" s="256"/>
      <c r="G411" s="256"/>
      <c r="H411" s="257"/>
    </row>
    <row r="412">
      <c r="E412" s="256"/>
      <c r="F412" s="256"/>
      <c r="G412" s="256"/>
      <c r="H412" s="257"/>
    </row>
    <row r="413">
      <c r="E413" s="256"/>
      <c r="F413" s="256"/>
      <c r="G413" s="256"/>
      <c r="H413" s="257"/>
    </row>
    <row r="414">
      <c r="E414" s="256"/>
      <c r="F414" s="256"/>
      <c r="G414" s="256"/>
      <c r="H414" s="257"/>
    </row>
    <row r="415">
      <c r="E415" s="256"/>
      <c r="F415" s="256"/>
      <c r="G415" s="256"/>
      <c r="H415" s="257"/>
    </row>
    <row r="416">
      <c r="E416" s="256"/>
      <c r="F416" s="256"/>
      <c r="G416" s="256"/>
      <c r="H416" s="257"/>
    </row>
    <row r="417">
      <c r="E417" s="256"/>
      <c r="F417" s="256"/>
      <c r="G417" s="256"/>
      <c r="H417" s="257"/>
    </row>
    <row r="418">
      <c r="E418" s="256"/>
      <c r="F418" s="256"/>
      <c r="G418" s="256"/>
      <c r="H418" s="257"/>
    </row>
    <row r="419">
      <c r="E419" s="256"/>
      <c r="F419" s="256"/>
      <c r="G419" s="256"/>
      <c r="H419" s="257"/>
    </row>
    <row r="420">
      <c r="E420" s="256"/>
      <c r="F420" s="256"/>
      <c r="G420" s="256"/>
      <c r="H420" s="257"/>
    </row>
    <row r="421">
      <c r="E421" s="256"/>
      <c r="F421" s="256"/>
      <c r="G421" s="256"/>
      <c r="H421" s="257"/>
    </row>
    <row r="422">
      <c r="E422" s="256"/>
      <c r="F422" s="256"/>
      <c r="G422" s="256"/>
      <c r="H422" s="257"/>
    </row>
    <row r="423">
      <c r="E423" s="256"/>
      <c r="F423" s="256"/>
      <c r="G423" s="256"/>
      <c r="H423" s="257"/>
    </row>
    <row r="424">
      <c r="E424" s="256"/>
      <c r="F424" s="256"/>
      <c r="G424" s="256"/>
      <c r="H424" s="257"/>
    </row>
    <row r="425">
      <c r="E425" s="256"/>
      <c r="F425" s="256"/>
      <c r="G425" s="256"/>
      <c r="H425" s="257"/>
    </row>
    <row r="426">
      <c r="E426" s="256"/>
      <c r="F426" s="256"/>
      <c r="G426" s="256"/>
      <c r="H426" s="257"/>
    </row>
    <row r="427">
      <c r="E427" s="256"/>
      <c r="F427" s="256"/>
      <c r="G427" s="256"/>
      <c r="H427" s="257"/>
    </row>
    <row r="428">
      <c r="E428" s="256"/>
      <c r="F428" s="256"/>
      <c r="G428" s="256"/>
      <c r="H428" s="257"/>
    </row>
    <row r="429">
      <c r="E429" s="256"/>
      <c r="F429" s="256"/>
      <c r="G429" s="256"/>
      <c r="H429" s="257"/>
    </row>
    <row r="430">
      <c r="E430" s="256"/>
      <c r="F430" s="256"/>
      <c r="G430" s="256"/>
      <c r="H430" s="257"/>
    </row>
    <row r="431">
      <c r="E431" s="256"/>
      <c r="F431" s="256"/>
      <c r="G431" s="256"/>
      <c r="H431" s="257"/>
    </row>
    <row r="432">
      <c r="E432" s="256"/>
      <c r="F432" s="256"/>
      <c r="G432" s="256"/>
      <c r="H432" s="257"/>
    </row>
    <row r="433">
      <c r="E433" s="256"/>
      <c r="F433" s="256"/>
      <c r="G433" s="256"/>
      <c r="H433" s="257"/>
    </row>
    <row r="434">
      <c r="E434" s="256"/>
      <c r="F434" s="256"/>
      <c r="G434" s="256"/>
      <c r="H434" s="257"/>
    </row>
    <row r="435">
      <c r="E435" s="256"/>
      <c r="F435" s="256"/>
      <c r="G435" s="256"/>
      <c r="H435" s="257"/>
    </row>
    <row r="436">
      <c r="E436" s="256"/>
      <c r="F436" s="256"/>
      <c r="G436" s="256"/>
      <c r="H436" s="257"/>
    </row>
    <row r="437">
      <c r="E437" s="256"/>
      <c r="F437" s="256"/>
      <c r="G437" s="256"/>
      <c r="H437" s="257"/>
    </row>
    <row r="438">
      <c r="E438" s="256"/>
      <c r="F438" s="256"/>
      <c r="G438" s="256"/>
      <c r="H438" s="257"/>
    </row>
    <row r="439">
      <c r="E439" s="256"/>
      <c r="F439" s="256"/>
      <c r="G439" s="256"/>
      <c r="H439" s="257"/>
    </row>
    <row r="440">
      <c r="E440" s="256"/>
      <c r="F440" s="256"/>
      <c r="G440" s="256"/>
      <c r="H440" s="257"/>
    </row>
    <row r="441">
      <c r="E441" s="256"/>
      <c r="F441" s="256"/>
      <c r="G441" s="256"/>
      <c r="H441" s="257"/>
    </row>
    <row r="442">
      <c r="E442" s="256"/>
      <c r="F442" s="256"/>
      <c r="G442" s="256"/>
      <c r="H442" s="257"/>
    </row>
    <row r="443">
      <c r="E443" s="256"/>
      <c r="F443" s="256"/>
      <c r="G443" s="256"/>
      <c r="H443" s="257"/>
    </row>
    <row r="444">
      <c r="E444" s="256"/>
      <c r="F444" s="256"/>
      <c r="G444" s="256"/>
      <c r="H444" s="257"/>
    </row>
    <row r="445">
      <c r="E445" s="256"/>
      <c r="F445" s="256"/>
      <c r="G445" s="256"/>
      <c r="H445" s="257"/>
    </row>
    <row r="446">
      <c r="E446" s="256"/>
      <c r="F446" s="256"/>
      <c r="G446" s="256"/>
      <c r="H446" s="257"/>
    </row>
    <row r="447">
      <c r="E447" s="256"/>
      <c r="F447" s="256"/>
      <c r="G447" s="256"/>
      <c r="H447" s="257"/>
    </row>
    <row r="448">
      <c r="E448" s="256"/>
      <c r="F448" s="256"/>
      <c r="G448" s="256"/>
      <c r="H448" s="257"/>
    </row>
    <row r="449">
      <c r="E449" s="256"/>
      <c r="F449" s="256"/>
      <c r="G449" s="256"/>
      <c r="H449" s="257"/>
    </row>
    <row r="450">
      <c r="E450" s="256"/>
      <c r="F450" s="256"/>
      <c r="G450" s="256"/>
      <c r="H450" s="257"/>
    </row>
    <row r="451">
      <c r="E451" s="256"/>
      <c r="F451" s="256"/>
      <c r="G451" s="256"/>
      <c r="H451" s="257"/>
    </row>
    <row r="452">
      <c r="E452" s="256"/>
      <c r="F452" s="256"/>
      <c r="G452" s="256"/>
      <c r="H452" s="257"/>
    </row>
    <row r="453">
      <c r="E453" s="256"/>
      <c r="F453" s="256"/>
      <c r="G453" s="256"/>
      <c r="H453" s="257"/>
    </row>
    <row r="454">
      <c r="E454" s="256"/>
      <c r="F454" s="256"/>
      <c r="G454" s="256"/>
      <c r="H454" s="257"/>
    </row>
    <row r="455">
      <c r="E455" s="256"/>
      <c r="F455" s="256"/>
      <c r="G455" s="256"/>
      <c r="H455" s="257"/>
    </row>
    <row r="456">
      <c r="E456" s="256"/>
      <c r="F456" s="256"/>
      <c r="G456" s="256"/>
      <c r="H456" s="257"/>
    </row>
    <row r="457">
      <c r="E457" s="256"/>
      <c r="F457" s="256"/>
      <c r="G457" s="256"/>
      <c r="H457" s="257"/>
    </row>
    <row r="458">
      <c r="E458" s="256"/>
      <c r="F458" s="256"/>
      <c r="G458" s="256"/>
      <c r="H458" s="257"/>
    </row>
    <row r="459">
      <c r="E459" s="256"/>
      <c r="F459" s="256"/>
      <c r="G459" s="256"/>
      <c r="H459" s="257"/>
    </row>
    <row r="460">
      <c r="E460" s="256"/>
      <c r="F460" s="256"/>
      <c r="G460" s="256"/>
      <c r="H460" s="257"/>
    </row>
    <row r="461">
      <c r="E461" s="256"/>
      <c r="F461" s="256"/>
      <c r="G461" s="256"/>
      <c r="H461" s="257"/>
    </row>
    <row r="462">
      <c r="E462" s="256"/>
      <c r="F462" s="256"/>
      <c r="G462" s="256"/>
      <c r="H462" s="257"/>
    </row>
    <row r="463">
      <c r="E463" s="256"/>
      <c r="F463" s="256"/>
      <c r="G463" s="256"/>
      <c r="H463" s="257"/>
    </row>
    <row r="464">
      <c r="E464" s="256"/>
      <c r="F464" s="256"/>
      <c r="G464" s="256"/>
      <c r="H464" s="257"/>
    </row>
    <row r="465">
      <c r="E465" s="256"/>
      <c r="F465" s="256"/>
      <c r="G465" s="256"/>
      <c r="H465" s="257"/>
    </row>
    <row r="466">
      <c r="E466" s="256"/>
      <c r="F466" s="256"/>
      <c r="G466" s="256"/>
      <c r="H466" s="257"/>
    </row>
    <row r="467">
      <c r="E467" s="256"/>
      <c r="F467" s="256"/>
      <c r="G467" s="256"/>
      <c r="H467" s="257"/>
    </row>
    <row r="468">
      <c r="E468" s="256"/>
      <c r="F468" s="256"/>
      <c r="G468" s="256"/>
      <c r="H468" s="257"/>
    </row>
    <row r="469">
      <c r="E469" s="256"/>
      <c r="F469" s="256"/>
      <c r="G469" s="256"/>
      <c r="H469" s="257"/>
    </row>
    <row r="470">
      <c r="E470" s="256"/>
      <c r="F470" s="256"/>
      <c r="G470" s="256"/>
      <c r="H470" s="257"/>
    </row>
    <row r="471">
      <c r="E471" s="256"/>
      <c r="F471" s="256"/>
      <c r="G471" s="256"/>
      <c r="H471" s="257"/>
    </row>
    <row r="472">
      <c r="E472" s="256"/>
      <c r="F472" s="256"/>
      <c r="G472" s="256"/>
      <c r="H472" s="257"/>
    </row>
    <row r="473">
      <c r="E473" s="256"/>
      <c r="F473" s="256"/>
      <c r="G473" s="256"/>
      <c r="H473" s="257"/>
    </row>
    <row r="474">
      <c r="E474" s="256"/>
      <c r="F474" s="256"/>
      <c r="G474" s="256"/>
      <c r="H474" s="257"/>
    </row>
    <row r="475">
      <c r="E475" s="256"/>
      <c r="F475" s="256"/>
      <c r="G475" s="256"/>
      <c r="H475" s="257"/>
    </row>
    <row r="476">
      <c r="E476" s="256"/>
      <c r="F476" s="256"/>
      <c r="G476" s="256"/>
      <c r="H476" s="257"/>
    </row>
    <row r="477">
      <c r="E477" s="256"/>
      <c r="F477" s="256"/>
      <c r="G477" s="256"/>
      <c r="H477" s="257"/>
    </row>
    <row r="478">
      <c r="E478" s="256"/>
      <c r="F478" s="256"/>
      <c r="G478" s="256"/>
      <c r="H478" s="257"/>
    </row>
    <row r="479">
      <c r="E479" s="256"/>
      <c r="F479" s="256"/>
      <c r="G479" s="256"/>
      <c r="H479" s="257"/>
    </row>
    <row r="480">
      <c r="E480" s="256"/>
      <c r="F480" s="256"/>
      <c r="G480" s="256"/>
      <c r="H480" s="257"/>
    </row>
    <row r="481">
      <c r="E481" s="256"/>
      <c r="F481" s="256"/>
      <c r="G481" s="256"/>
      <c r="H481" s="257"/>
    </row>
    <row r="482">
      <c r="E482" s="256"/>
      <c r="F482" s="256"/>
      <c r="G482" s="256"/>
      <c r="H482" s="257"/>
    </row>
    <row r="483">
      <c r="E483" s="256"/>
      <c r="F483" s="256"/>
      <c r="G483" s="256"/>
      <c r="H483" s="257"/>
    </row>
    <row r="484">
      <c r="E484" s="256"/>
      <c r="F484" s="256"/>
      <c r="G484" s="256"/>
      <c r="H484" s="257"/>
    </row>
    <row r="485">
      <c r="E485" s="256"/>
      <c r="F485" s="256"/>
      <c r="G485" s="256"/>
      <c r="H485" s="257"/>
    </row>
    <row r="486">
      <c r="E486" s="256"/>
      <c r="F486" s="256"/>
      <c r="G486" s="256"/>
      <c r="H486" s="257"/>
    </row>
    <row r="487">
      <c r="E487" s="256"/>
      <c r="F487" s="256"/>
      <c r="G487" s="256"/>
      <c r="H487" s="257"/>
    </row>
    <row r="488">
      <c r="E488" s="256"/>
      <c r="F488" s="256"/>
      <c r="G488" s="256"/>
      <c r="H488" s="257"/>
    </row>
    <row r="489">
      <c r="E489" s="256"/>
      <c r="F489" s="256"/>
      <c r="G489" s="256"/>
      <c r="H489" s="257"/>
    </row>
    <row r="490">
      <c r="E490" s="256"/>
      <c r="F490" s="256"/>
      <c r="G490" s="256"/>
      <c r="H490" s="257"/>
    </row>
    <row r="491">
      <c r="E491" s="256"/>
      <c r="F491" s="256"/>
      <c r="G491" s="256"/>
      <c r="H491" s="257"/>
    </row>
    <row r="492">
      <c r="E492" s="256"/>
      <c r="F492" s="256"/>
      <c r="G492" s="256"/>
      <c r="H492" s="257"/>
    </row>
    <row r="493">
      <c r="E493" s="256"/>
      <c r="F493" s="256"/>
      <c r="G493" s="256"/>
      <c r="H493" s="257"/>
    </row>
    <row r="494">
      <c r="E494" s="256"/>
      <c r="F494" s="256"/>
      <c r="G494" s="256"/>
      <c r="H494" s="257"/>
    </row>
    <row r="495">
      <c r="E495" s="256"/>
      <c r="F495" s="256"/>
      <c r="G495" s="256"/>
      <c r="H495" s="257"/>
    </row>
    <row r="496">
      <c r="E496" s="256"/>
      <c r="F496" s="256"/>
      <c r="G496" s="256"/>
      <c r="H496" s="257"/>
    </row>
    <row r="497">
      <c r="E497" s="256"/>
      <c r="F497" s="256"/>
      <c r="G497" s="256"/>
      <c r="H497" s="257"/>
    </row>
    <row r="498">
      <c r="E498" s="256"/>
      <c r="F498" s="256"/>
      <c r="G498" s="256"/>
      <c r="H498" s="257"/>
    </row>
    <row r="499">
      <c r="E499" s="256"/>
      <c r="F499" s="256"/>
      <c r="G499" s="256"/>
      <c r="H499" s="257"/>
    </row>
    <row r="500">
      <c r="E500" s="256"/>
      <c r="F500" s="256"/>
      <c r="G500" s="256"/>
      <c r="H500" s="257"/>
    </row>
    <row r="501">
      <c r="E501" s="256"/>
      <c r="F501" s="256"/>
      <c r="G501" s="256"/>
      <c r="H501" s="257"/>
    </row>
    <row r="502">
      <c r="E502" s="256"/>
      <c r="F502" s="256"/>
      <c r="G502" s="256"/>
      <c r="H502" s="257"/>
    </row>
    <row r="503">
      <c r="E503" s="256"/>
      <c r="F503" s="256"/>
      <c r="G503" s="256"/>
      <c r="H503" s="257"/>
    </row>
    <row r="504">
      <c r="E504" s="256"/>
      <c r="F504" s="256"/>
      <c r="G504" s="256"/>
      <c r="H504" s="257"/>
    </row>
    <row r="505">
      <c r="E505" s="256"/>
      <c r="F505" s="256"/>
      <c r="G505" s="256"/>
      <c r="H505" s="257"/>
    </row>
    <row r="506">
      <c r="E506" s="256"/>
      <c r="F506" s="256"/>
      <c r="G506" s="256"/>
      <c r="H506" s="257"/>
    </row>
    <row r="507">
      <c r="E507" s="256"/>
      <c r="F507" s="256"/>
      <c r="G507" s="256"/>
      <c r="H507" s="257"/>
    </row>
    <row r="508">
      <c r="E508" s="256"/>
      <c r="F508" s="256"/>
      <c r="G508" s="256"/>
      <c r="H508" s="257"/>
    </row>
    <row r="509">
      <c r="E509" s="256"/>
      <c r="F509" s="256"/>
      <c r="G509" s="256"/>
      <c r="H509" s="257"/>
    </row>
    <row r="510">
      <c r="E510" s="256"/>
      <c r="F510" s="256"/>
      <c r="G510" s="256"/>
      <c r="H510" s="257"/>
    </row>
    <row r="511">
      <c r="E511" s="256"/>
      <c r="F511" s="256"/>
      <c r="G511" s="256"/>
      <c r="H511" s="257"/>
    </row>
    <row r="512">
      <c r="E512" s="256"/>
      <c r="F512" s="256"/>
      <c r="G512" s="256"/>
      <c r="H512" s="257"/>
    </row>
    <row r="513">
      <c r="E513" s="256"/>
      <c r="F513" s="256"/>
      <c r="G513" s="256"/>
      <c r="H513" s="257"/>
    </row>
    <row r="514">
      <c r="E514" s="256"/>
      <c r="F514" s="256"/>
      <c r="G514" s="256"/>
      <c r="H514" s="257"/>
    </row>
    <row r="515">
      <c r="E515" s="256"/>
      <c r="F515" s="256"/>
      <c r="G515" s="256"/>
      <c r="H515" s="257"/>
    </row>
    <row r="516">
      <c r="E516" s="256"/>
      <c r="F516" s="256"/>
      <c r="G516" s="256"/>
      <c r="H516" s="257"/>
    </row>
    <row r="517">
      <c r="E517" s="256"/>
      <c r="F517" s="256"/>
      <c r="G517" s="256"/>
      <c r="H517" s="257"/>
    </row>
    <row r="518">
      <c r="E518" s="256"/>
      <c r="F518" s="256"/>
      <c r="G518" s="256"/>
      <c r="H518" s="257"/>
    </row>
    <row r="519">
      <c r="E519" s="256"/>
      <c r="F519" s="256"/>
      <c r="G519" s="256"/>
      <c r="H519" s="257"/>
    </row>
    <row r="520">
      <c r="E520" s="256"/>
      <c r="F520" s="256"/>
      <c r="G520" s="256"/>
      <c r="H520" s="257"/>
    </row>
    <row r="521">
      <c r="E521" s="256"/>
      <c r="F521" s="256"/>
      <c r="G521" s="256"/>
      <c r="H521" s="257"/>
    </row>
    <row r="522">
      <c r="E522" s="256"/>
      <c r="F522" s="256"/>
      <c r="G522" s="256"/>
      <c r="H522" s="257"/>
    </row>
    <row r="523">
      <c r="E523" s="256"/>
      <c r="F523" s="256"/>
      <c r="G523" s="256"/>
      <c r="H523" s="257"/>
    </row>
    <row r="524">
      <c r="E524" s="256"/>
      <c r="F524" s="256"/>
      <c r="G524" s="256"/>
      <c r="H524" s="257"/>
    </row>
    <row r="525">
      <c r="E525" s="256"/>
      <c r="F525" s="256"/>
      <c r="G525" s="256"/>
      <c r="H525" s="257"/>
    </row>
    <row r="526">
      <c r="E526" s="256"/>
      <c r="F526" s="256"/>
      <c r="G526" s="256"/>
      <c r="H526" s="257"/>
    </row>
    <row r="527">
      <c r="E527" s="256"/>
      <c r="F527" s="256"/>
      <c r="G527" s="256"/>
      <c r="H527" s="257"/>
    </row>
    <row r="528">
      <c r="E528" s="256"/>
      <c r="F528" s="256"/>
      <c r="G528" s="256"/>
      <c r="H528" s="257"/>
    </row>
    <row r="529">
      <c r="E529" s="256"/>
      <c r="F529" s="256"/>
      <c r="G529" s="256"/>
      <c r="H529" s="257"/>
    </row>
    <row r="530">
      <c r="E530" s="256"/>
      <c r="F530" s="256"/>
      <c r="G530" s="256"/>
      <c r="H530" s="257"/>
    </row>
    <row r="531">
      <c r="E531" s="256"/>
      <c r="F531" s="256"/>
      <c r="G531" s="256"/>
      <c r="H531" s="257"/>
    </row>
    <row r="532">
      <c r="E532" s="256"/>
      <c r="F532" s="256"/>
      <c r="G532" s="256"/>
      <c r="H532" s="257"/>
    </row>
    <row r="533">
      <c r="E533" s="256"/>
      <c r="F533" s="256"/>
      <c r="G533" s="256"/>
      <c r="H533" s="257"/>
    </row>
    <row r="534">
      <c r="E534" s="256"/>
      <c r="F534" s="256"/>
      <c r="G534" s="256"/>
      <c r="H534" s="257"/>
    </row>
    <row r="535">
      <c r="E535" s="256"/>
      <c r="F535" s="256"/>
      <c r="G535" s="256"/>
      <c r="H535" s="257"/>
    </row>
    <row r="536">
      <c r="E536" s="256"/>
      <c r="F536" s="256"/>
      <c r="G536" s="256"/>
      <c r="H536" s="257"/>
    </row>
    <row r="537">
      <c r="E537" s="256"/>
      <c r="F537" s="256"/>
      <c r="G537" s="256"/>
      <c r="H537" s="257"/>
    </row>
    <row r="538">
      <c r="E538" s="256"/>
      <c r="F538" s="256"/>
      <c r="G538" s="256"/>
      <c r="H538" s="257"/>
    </row>
    <row r="539">
      <c r="E539" s="256"/>
      <c r="F539" s="256"/>
      <c r="G539" s="256"/>
      <c r="H539" s="257"/>
    </row>
    <row r="540">
      <c r="E540" s="256"/>
      <c r="F540" s="256"/>
      <c r="G540" s="256"/>
      <c r="H540" s="257"/>
    </row>
    <row r="541">
      <c r="E541" s="256"/>
      <c r="F541" s="256"/>
      <c r="G541" s="256"/>
      <c r="H541" s="257"/>
    </row>
    <row r="542">
      <c r="E542" s="256"/>
      <c r="F542" s="256"/>
      <c r="G542" s="256"/>
      <c r="H542" s="257"/>
    </row>
    <row r="543">
      <c r="E543" s="256"/>
      <c r="F543" s="256"/>
      <c r="G543" s="256"/>
      <c r="H543" s="257"/>
    </row>
    <row r="544">
      <c r="E544" s="256"/>
      <c r="F544" s="256"/>
      <c r="G544" s="256"/>
      <c r="H544" s="257"/>
    </row>
    <row r="545">
      <c r="E545" s="256"/>
      <c r="F545" s="256"/>
      <c r="G545" s="256"/>
      <c r="H545" s="257"/>
    </row>
    <row r="546">
      <c r="E546" s="256"/>
      <c r="F546" s="256"/>
      <c r="G546" s="256"/>
      <c r="H546" s="257"/>
    </row>
    <row r="547">
      <c r="E547" s="256"/>
      <c r="F547" s="256"/>
      <c r="G547" s="256"/>
      <c r="H547" s="257"/>
    </row>
    <row r="548">
      <c r="E548" s="256"/>
      <c r="F548" s="256"/>
      <c r="G548" s="256"/>
      <c r="H548" s="257"/>
    </row>
    <row r="549">
      <c r="E549" s="256"/>
      <c r="F549" s="256"/>
      <c r="G549" s="256"/>
      <c r="H549" s="257"/>
    </row>
    <row r="550">
      <c r="E550" s="256"/>
      <c r="F550" s="256"/>
      <c r="G550" s="256"/>
      <c r="H550" s="257"/>
    </row>
    <row r="551">
      <c r="E551" s="256"/>
      <c r="F551" s="256"/>
      <c r="G551" s="256"/>
      <c r="H551" s="257"/>
    </row>
    <row r="552">
      <c r="E552" s="256"/>
      <c r="F552" s="256"/>
      <c r="G552" s="256"/>
      <c r="H552" s="257"/>
    </row>
    <row r="553">
      <c r="E553" s="256"/>
      <c r="F553" s="256"/>
      <c r="G553" s="256"/>
      <c r="H553" s="257"/>
    </row>
    <row r="554">
      <c r="E554" s="256"/>
      <c r="F554" s="256"/>
      <c r="G554" s="256"/>
      <c r="H554" s="257"/>
    </row>
    <row r="555">
      <c r="E555" s="256"/>
      <c r="F555" s="256"/>
      <c r="G555" s="256"/>
      <c r="H555" s="257"/>
    </row>
    <row r="556">
      <c r="E556" s="256"/>
      <c r="F556" s="256"/>
      <c r="G556" s="256"/>
      <c r="H556" s="257"/>
    </row>
    <row r="557">
      <c r="E557" s="256"/>
      <c r="F557" s="256"/>
      <c r="G557" s="256"/>
      <c r="H557" s="257"/>
    </row>
    <row r="558">
      <c r="E558" s="256"/>
      <c r="F558" s="256"/>
      <c r="G558" s="256"/>
      <c r="H558" s="257"/>
    </row>
    <row r="559">
      <c r="E559" s="256"/>
      <c r="F559" s="256"/>
      <c r="G559" s="256"/>
      <c r="H559" s="257"/>
    </row>
    <row r="560">
      <c r="E560" s="256"/>
      <c r="F560" s="256"/>
      <c r="G560" s="256"/>
      <c r="H560" s="257"/>
    </row>
    <row r="561">
      <c r="E561" s="256"/>
      <c r="F561" s="256"/>
      <c r="G561" s="256"/>
      <c r="H561" s="257"/>
    </row>
    <row r="562">
      <c r="E562" s="256"/>
      <c r="F562" s="256"/>
      <c r="G562" s="256"/>
      <c r="H562" s="257"/>
    </row>
    <row r="563">
      <c r="E563" s="256"/>
      <c r="F563" s="256"/>
      <c r="G563" s="256"/>
      <c r="H563" s="257"/>
    </row>
    <row r="564">
      <c r="E564" s="256"/>
      <c r="F564" s="256"/>
      <c r="G564" s="256"/>
      <c r="H564" s="257"/>
    </row>
    <row r="565">
      <c r="E565" s="256"/>
      <c r="F565" s="256"/>
      <c r="G565" s="256"/>
      <c r="H565" s="257"/>
    </row>
    <row r="566">
      <c r="E566" s="256"/>
      <c r="F566" s="256"/>
      <c r="G566" s="256"/>
      <c r="H566" s="257"/>
    </row>
    <row r="567">
      <c r="E567" s="256"/>
      <c r="F567" s="256"/>
      <c r="G567" s="256"/>
      <c r="H567" s="257"/>
    </row>
    <row r="568">
      <c r="E568" s="256"/>
      <c r="F568" s="256"/>
      <c r="G568" s="256"/>
      <c r="H568" s="257"/>
    </row>
    <row r="569">
      <c r="E569" s="256"/>
      <c r="F569" s="256"/>
      <c r="G569" s="256"/>
      <c r="H569" s="257"/>
    </row>
    <row r="570">
      <c r="E570" s="256"/>
      <c r="F570" s="256"/>
      <c r="G570" s="256"/>
      <c r="H570" s="257"/>
    </row>
    <row r="571">
      <c r="E571" s="256"/>
      <c r="F571" s="256"/>
      <c r="G571" s="256"/>
      <c r="H571" s="257"/>
    </row>
    <row r="572">
      <c r="E572" s="256"/>
      <c r="F572" s="256"/>
      <c r="G572" s="256"/>
      <c r="H572" s="257"/>
    </row>
    <row r="573">
      <c r="E573" s="256"/>
      <c r="F573" s="256"/>
      <c r="G573" s="256"/>
      <c r="H573" s="257"/>
    </row>
    <row r="574">
      <c r="E574" s="256"/>
      <c r="F574" s="256"/>
      <c r="G574" s="256"/>
      <c r="H574" s="257"/>
    </row>
    <row r="575">
      <c r="E575" s="256"/>
      <c r="F575" s="256"/>
      <c r="G575" s="256"/>
      <c r="H575" s="257"/>
    </row>
    <row r="576">
      <c r="E576" s="256"/>
      <c r="F576" s="256"/>
      <c r="G576" s="256"/>
      <c r="H576" s="257"/>
    </row>
    <row r="577">
      <c r="E577" s="256"/>
      <c r="F577" s="256"/>
      <c r="G577" s="256"/>
      <c r="H577" s="257"/>
    </row>
    <row r="578">
      <c r="E578" s="256"/>
      <c r="F578" s="256"/>
      <c r="G578" s="256"/>
      <c r="H578" s="257"/>
    </row>
    <row r="579">
      <c r="E579" s="256"/>
      <c r="F579" s="256"/>
      <c r="G579" s="256"/>
      <c r="H579" s="257"/>
    </row>
    <row r="580">
      <c r="E580" s="256"/>
      <c r="F580" s="256"/>
      <c r="G580" s="256"/>
      <c r="H580" s="257"/>
    </row>
    <row r="581">
      <c r="E581" s="256"/>
      <c r="F581" s="256"/>
      <c r="G581" s="256"/>
      <c r="H581" s="257"/>
    </row>
    <row r="582">
      <c r="E582" s="256"/>
      <c r="F582" s="256"/>
      <c r="G582" s="256"/>
      <c r="H582" s="257"/>
    </row>
    <row r="583">
      <c r="E583" s="256"/>
      <c r="F583" s="256"/>
      <c r="G583" s="256"/>
      <c r="H583" s="257"/>
    </row>
    <row r="584">
      <c r="E584" s="256"/>
      <c r="F584" s="256"/>
      <c r="G584" s="256"/>
      <c r="H584" s="257"/>
    </row>
    <row r="585">
      <c r="E585" s="256"/>
      <c r="F585" s="256"/>
      <c r="G585" s="256"/>
      <c r="H585" s="257"/>
    </row>
    <row r="586">
      <c r="E586" s="256"/>
      <c r="F586" s="256"/>
      <c r="G586" s="256"/>
      <c r="H586" s="257"/>
    </row>
    <row r="587">
      <c r="E587" s="256"/>
      <c r="F587" s="256"/>
      <c r="G587" s="256"/>
      <c r="H587" s="257"/>
    </row>
    <row r="588">
      <c r="E588" s="256"/>
      <c r="F588" s="256"/>
      <c r="G588" s="256"/>
      <c r="H588" s="257"/>
    </row>
    <row r="589">
      <c r="E589" s="256"/>
      <c r="F589" s="256"/>
      <c r="G589" s="256"/>
      <c r="H589" s="257"/>
    </row>
    <row r="590">
      <c r="E590" s="256"/>
      <c r="F590" s="256"/>
      <c r="G590" s="256"/>
      <c r="H590" s="257"/>
    </row>
    <row r="591">
      <c r="E591" s="256"/>
      <c r="F591" s="256"/>
      <c r="G591" s="256"/>
      <c r="H591" s="257"/>
    </row>
    <row r="592">
      <c r="E592" s="256"/>
      <c r="F592" s="256"/>
      <c r="G592" s="256"/>
      <c r="H592" s="257"/>
    </row>
    <row r="593">
      <c r="E593" s="256"/>
      <c r="F593" s="256"/>
      <c r="G593" s="256"/>
      <c r="H593" s="257"/>
    </row>
    <row r="594">
      <c r="E594" s="256"/>
      <c r="F594" s="256"/>
      <c r="G594" s="256"/>
      <c r="H594" s="257"/>
    </row>
    <row r="595">
      <c r="E595" s="256"/>
      <c r="F595" s="256"/>
      <c r="G595" s="256"/>
      <c r="H595" s="257"/>
    </row>
    <row r="596">
      <c r="E596" s="256"/>
      <c r="F596" s="256"/>
      <c r="G596" s="256"/>
      <c r="H596" s="257"/>
    </row>
    <row r="597">
      <c r="E597" s="256"/>
      <c r="F597" s="256"/>
      <c r="G597" s="256"/>
      <c r="H597" s="257"/>
    </row>
    <row r="598">
      <c r="E598" s="256"/>
      <c r="F598" s="256"/>
      <c r="G598" s="256"/>
      <c r="H598" s="257"/>
    </row>
    <row r="599">
      <c r="E599" s="256"/>
      <c r="F599" s="256"/>
      <c r="G599" s="256"/>
      <c r="H599" s="257"/>
    </row>
    <row r="600">
      <c r="E600" s="256"/>
      <c r="F600" s="256"/>
      <c r="G600" s="256"/>
      <c r="H600" s="257"/>
    </row>
    <row r="601">
      <c r="E601" s="256"/>
      <c r="F601" s="256"/>
      <c r="G601" s="256"/>
      <c r="H601" s="257"/>
    </row>
    <row r="602">
      <c r="E602" s="256"/>
      <c r="F602" s="256"/>
      <c r="G602" s="256"/>
      <c r="H602" s="257"/>
    </row>
    <row r="603">
      <c r="E603" s="256"/>
      <c r="F603" s="256"/>
      <c r="G603" s="256"/>
      <c r="H603" s="257"/>
    </row>
    <row r="604">
      <c r="E604" s="256"/>
      <c r="F604" s="256"/>
      <c r="G604" s="256"/>
      <c r="H604" s="257"/>
    </row>
    <row r="605">
      <c r="E605" s="256"/>
      <c r="F605" s="256"/>
      <c r="G605" s="256"/>
      <c r="H605" s="257"/>
    </row>
    <row r="606">
      <c r="E606" s="256"/>
      <c r="F606" s="256"/>
      <c r="G606" s="256"/>
      <c r="H606" s="257"/>
    </row>
    <row r="607">
      <c r="E607" s="256"/>
      <c r="F607" s="256"/>
      <c r="G607" s="256"/>
      <c r="H607" s="257"/>
    </row>
    <row r="608">
      <c r="E608" s="256"/>
      <c r="F608" s="256"/>
      <c r="G608" s="256"/>
      <c r="H608" s="257"/>
    </row>
    <row r="609">
      <c r="E609" s="256"/>
      <c r="F609" s="256"/>
      <c r="G609" s="256"/>
      <c r="H609" s="257"/>
    </row>
    <row r="610">
      <c r="E610" s="256"/>
      <c r="F610" s="256"/>
      <c r="G610" s="256"/>
      <c r="H610" s="257"/>
    </row>
    <row r="611">
      <c r="E611" s="256"/>
      <c r="F611" s="256"/>
      <c r="G611" s="256"/>
      <c r="H611" s="257"/>
    </row>
    <row r="612">
      <c r="E612" s="256"/>
      <c r="F612" s="256"/>
      <c r="G612" s="256"/>
      <c r="H612" s="257"/>
    </row>
    <row r="613">
      <c r="E613" s="256"/>
      <c r="F613" s="256"/>
      <c r="G613" s="256"/>
      <c r="H613" s="257"/>
    </row>
    <row r="614">
      <c r="E614" s="256"/>
      <c r="F614" s="256"/>
      <c r="G614" s="256"/>
      <c r="H614" s="257"/>
    </row>
    <row r="615">
      <c r="E615" s="256"/>
      <c r="F615" s="256"/>
      <c r="G615" s="256"/>
      <c r="H615" s="257"/>
    </row>
    <row r="616">
      <c r="E616" s="256"/>
      <c r="F616" s="256"/>
      <c r="G616" s="256"/>
      <c r="H616" s="257"/>
    </row>
    <row r="617">
      <c r="E617" s="256"/>
      <c r="F617" s="256"/>
      <c r="G617" s="256"/>
      <c r="H617" s="257"/>
    </row>
    <row r="618">
      <c r="E618" s="256"/>
      <c r="F618" s="256"/>
      <c r="G618" s="256"/>
      <c r="H618" s="257"/>
    </row>
    <row r="619">
      <c r="E619" s="256"/>
      <c r="F619" s="256"/>
      <c r="G619" s="256"/>
      <c r="H619" s="257"/>
    </row>
    <row r="620">
      <c r="E620" s="256"/>
      <c r="F620" s="256"/>
      <c r="G620" s="256"/>
      <c r="H620" s="257"/>
    </row>
    <row r="621">
      <c r="E621" s="256"/>
      <c r="F621" s="256"/>
      <c r="G621" s="256"/>
      <c r="H621" s="257"/>
    </row>
    <row r="622">
      <c r="E622" s="256"/>
      <c r="F622" s="256"/>
      <c r="G622" s="256"/>
      <c r="H622" s="257"/>
    </row>
    <row r="623">
      <c r="E623" s="256"/>
      <c r="F623" s="256"/>
      <c r="G623" s="256"/>
      <c r="H623" s="257"/>
    </row>
    <row r="624">
      <c r="E624" s="256"/>
      <c r="F624" s="256"/>
      <c r="G624" s="256"/>
      <c r="H624" s="257"/>
    </row>
    <row r="625">
      <c r="E625" s="256"/>
      <c r="F625" s="256"/>
      <c r="G625" s="256"/>
      <c r="H625" s="257"/>
    </row>
    <row r="626">
      <c r="E626" s="256"/>
      <c r="F626" s="256"/>
      <c r="G626" s="256"/>
      <c r="H626" s="257"/>
    </row>
    <row r="627">
      <c r="E627" s="256"/>
      <c r="F627" s="256"/>
      <c r="G627" s="256"/>
      <c r="H627" s="257"/>
    </row>
    <row r="628">
      <c r="E628" s="256"/>
      <c r="F628" s="256"/>
      <c r="G628" s="256"/>
      <c r="H628" s="257"/>
    </row>
    <row r="629">
      <c r="E629" s="256"/>
      <c r="F629" s="256"/>
      <c r="G629" s="256"/>
      <c r="H629" s="257"/>
    </row>
    <row r="630">
      <c r="E630" s="256"/>
      <c r="F630" s="256"/>
      <c r="G630" s="256"/>
      <c r="H630" s="257"/>
    </row>
    <row r="631">
      <c r="E631" s="256"/>
      <c r="F631" s="256"/>
      <c r="G631" s="256"/>
      <c r="H631" s="257"/>
    </row>
    <row r="632">
      <c r="E632" s="256"/>
      <c r="F632" s="256"/>
      <c r="G632" s="256"/>
      <c r="H632" s="257"/>
    </row>
    <row r="633">
      <c r="E633" s="256"/>
      <c r="F633" s="256"/>
      <c r="G633" s="256"/>
      <c r="H633" s="257"/>
    </row>
    <row r="634">
      <c r="E634" s="256"/>
      <c r="F634" s="256"/>
      <c r="G634" s="256"/>
      <c r="H634" s="257"/>
    </row>
    <row r="635">
      <c r="E635" s="256"/>
      <c r="F635" s="256"/>
      <c r="G635" s="256"/>
      <c r="H635" s="257"/>
    </row>
    <row r="636">
      <c r="E636" s="256"/>
      <c r="F636" s="256"/>
      <c r="G636" s="256"/>
      <c r="H636" s="257"/>
    </row>
    <row r="637">
      <c r="E637" s="256"/>
      <c r="F637" s="256"/>
      <c r="G637" s="256"/>
      <c r="H637" s="257"/>
    </row>
    <row r="638">
      <c r="E638" s="256"/>
      <c r="F638" s="256"/>
      <c r="G638" s="256"/>
      <c r="H638" s="257"/>
    </row>
    <row r="639">
      <c r="E639" s="256"/>
      <c r="F639" s="256"/>
      <c r="G639" s="256"/>
      <c r="H639" s="257"/>
    </row>
    <row r="640">
      <c r="E640" s="256"/>
      <c r="F640" s="256"/>
      <c r="G640" s="256"/>
      <c r="H640" s="257"/>
    </row>
    <row r="641">
      <c r="E641" s="256"/>
      <c r="F641" s="256"/>
      <c r="G641" s="256"/>
      <c r="H641" s="257"/>
    </row>
    <row r="642">
      <c r="E642" s="256"/>
      <c r="F642" s="256"/>
      <c r="G642" s="256"/>
      <c r="H642" s="257"/>
    </row>
    <row r="643">
      <c r="E643" s="256"/>
      <c r="F643" s="256"/>
      <c r="G643" s="256"/>
      <c r="H643" s="257"/>
    </row>
    <row r="644">
      <c r="E644" s="256"/>
      <c r="F644" s="256"/>
      <c r="G644" s="256"/>
      <c r="H644" s="257"/>
    </row>
    <row r="645">
      <c r="E645" s="256"/>
      <c r="F645" s="256"/>
      <c r="G645" s="256"/>
      <c r="H645" s="257"/>
    </row>
    <row r="646">
      <c r="E646" s="256"/>
      <c r="F646" s="256"/>
      <c r="G646" s="256"/>
      <c r="H646" s="257"/>
    </row>
    <row r="647">
      <c r="E647" s="256"/>
      <c r="F647" s="256"/>
      <c r="G647" s="256"/>
      <c r="H647" s="257"/>
    </row>
    <row r="648">
      <c r="E648" s="256"/>
      <c r="F648" s="256"/>
      <c r="G648" s="256"/>
      <c r="H648" s="257"/>
    </row>
    <row r="649">
      <c r="E649" s="256"/>
      <c r="F649" s="256"/>
      <c r="G649" s="256"/>
      <c r="H649" s="257"/>
    </row>
    <row r="650">
      <c r="E650" s="256"/>
      <c r="F650" s="256"/>
      <c r="G650" s="256"/>
      <c r="H650" s="257"/>
    </row>
    <row r="651">
      <c r="E651" s="256"/>
      <c r="F651" s="256"/>
      <c r="G651" s="256"/>
      <c r="H651" s="257"/>
    </row>
    <row r="652">
      <c r="E652" s="256"/>
      <c r="F652" s="256"/>
      <c r="G652" s="256"/>
      <c r="H652" s="257"/>
    </row>
    <row r="653">
      <c r="E653" s="256"/>
      <c r="F653" s="256"/>
      <c r="G653" s="256"/>
      <c r="H653" s="257"/>
    </row>
    <row r="654">
      <c r="E654" s="256"/>
      <c r="F654" s="256"/>
      <c r="G654" s="256"/>
      <c r="H654" s="257"/>
    </row>
    <row r="655">
      <c r="E655" s="256"/>
      <c r="F655" s="256"/>
      <c r="G655" s="256"/>
      <c r="H655" s="257"/>
    </row>
    <row r="656">
      <c r="E656" s="256"/>
      <c r="F656" s="256"/>
      <c r="G656" s="256"/>
      <c r="H656" s="257"/>
    </row>
    <row r="657">
      <c r="E657" s="256"/>
      <c r="F657" s="256"/>
      <c r="G657" s="256"/>
      <c r="H657" s="257"/>
    </row>
    <row r="658">
      <c r="E658" s="256"/>
      <c r="F658" s="256"/>
      <c r="G658" s="256"/>
      <c r="H658" s="257"/>
    </row>
    <row r="659">
      <c r="E659" s="256"/>
      <c r="F659" s="256"/>
      <c r="G659" s="256"/>
      <c r="H659" s="257"/>
    </row>
    <row r="660">
      <c r="E660" s="256"/>
      <c r="F660" s="256"/>
      <c r="G660" s="256"/>
      <c r="H660" s="257"/>
    </row>
    <row r="661">
      <c r="E661" s="256"/>
      <c r="F661" s="256"/>
      <c r="G661" s="256"/>
      <c r="H661" s="257"/>
    </row>
    <row r="662">
      <c r="E662" s="256"/>
      <c r="F662" s="256"/>
      <c r="G662" s="256"/>
      <c r="H662" s="257"/>
    </row>
    <row r="663">
      <c r="E663" s="256"/>
      <c r="F663" s="256"/>
      <c r="G663" s="256"/>
      <c r="H663" s="257"/>
    </row>
    <row r="664">
      <c r="E664" s="256"/>
      <c r="F664" s="256"/>
      <c r="G664" s="256"/>
      <c r="H664" s="257"/>
    </row>
    <row r="665">
      <c r="E665" s="256"/>
      <c r="F665" s="256"/>
      <c r="G665" s="256"/>
      <c r="H665" s="257"/>
    </row>
    <row r="666">
      <c r="E666" s="256"/>
      <c r="F666" s="256"/>
      <c r="G666" s="256"/>
      <c r="H666" s="257"/>
    </row>
    <row r="667">
      <c r="E667" s="256"/>
      <c r="F667" s="256"/>
      <c r="G667" s="256"/>
      <c r="H667" s="257"/>
    </row>
    <row r="668">
      <c r="E668" s="256"/>
      <c r="F668" s="256"/>
      <c r="G668" s="256"/>
      <c r="H668" s="257"/>
    </row>
    <row r="669">
      <c r="E669" s="256"/>
      <c r="F669" s="256"/>
      <c r="G669" s="256"/>
      <c r="H669" s="257"/>
    </row>
    <row r="670">
      <c r="E670" s="256"/>
      <c r="F670" s="256"/>
      <c r="G670" s="256"/>
      <c r="H670" s="257"/>
    </row>
    <row r="671">
      <c r="E671" s="256"/>
      <c r="F671" s="256"/>
      <c r="G671" s="256"/>
      <c r="H671" s="257"/>
    </row>
    <row r="672">
      <c r="E672" s="256"/>
      <c r="F672" s="256"/>
      <c r="G672" s="256"/>
      <c r="H672" s="257"/>
    </row>
    <row r="673">
      <c r="E673" s="256"/>
      <c r="F673" s="256"/>
      <c r="G673" s="256"/>
      <c r="H673" s="257"/>
    </row>
    <row r="674">
      <c r="E674" s="256"/>
      <c r="F674" s="256"/>
      <c r="G674" s="256"/>
      <c r="H674" s="257"/>
    </row>
    <row r="675">
      <c r="E675" s="256"/>
      <c r="F675" s="256"/>
      <c r="G675" s="256"/>
      <c r="H675" s="257"/>
    </row>
    <row r="676">
      <c r="E676" s="256"/>
      <c r="F676" s="256"/>
      <c r="G676" s="256"/>
      <c r="H676" s="257"/>
    </row>
    <row r="677">
      <c r="E677" s="256"/>
      <c r="F677" s="256"/>
      <c r="G677" s="256"/>
      <c r="H677" s="257"/>
    </row>
    <row r="678">
      <c r="E678" s="256"/>
      <c r="F678" s="256"/>
      <c r="G678" s="256"/>
      <c r="H678" s="257"/>
    </row>
    <row r="679">
      <c r="E679" s="256"/>
      <c r="F679" s="256"/>
      <c r="G679" s="256"/>
      <c r="H679" s="257"/>
    </row>
    <row r="680">
      <c r="E680" s="256"/>
      <c r="F680" s="256"/>
      <c r="G680" s="256"/>
      <c r="H680" s="257"/>
    </row>
    <row r="681">
      <c r="E681" s="256"/>
      <c r="F681" s="256"/>
      <c r="G681" s="256"/>
      <c r="H681" s="257"/>
    </row>
    <row r="682">
      <c r="E682" s="256"/>
      <c r="F682" s="256"/>
      <c r="G682" s="256"/>
      <c r="H682" s="257"/>
    </row>
    <row r="683">
      <c r="E683" s="256"/>
      <c r="F683" s="256"/>
      <c r="G683" s="256"/>
      <c r="H683" s="257"/>
    </row>
    <row r="684">
      <c r="E684" s="256"/>
      <c r="F684" s="256"/>
      <c r="G684" s="256"/>
      <c r="H684" s="257"/>
    </row>
    <row r="685">
      <c r="E685" s="256"/>
      <c r="F685" s="256"/>
      <c r="G685" s="256"/>
      <c r="H685" s="257"/>
    </row>
    <row r="686">
      <c r="E686" s="256"/>
      <c r="F686" s="256"/>
      <c r="G686" s="256"/>
      <c r="H686" s="257"/>
    </row>
    <row r="687">
      <c r="E687" s="256"/>
      <c r="F687" s="256"/>
      <c r="G687" s="256"/>
      <c r="H687" s="257"/>
    </row>
    <row r="688">
      <c r="E688" s="256"/>
      <c r="F688" s="256"/>
      <c r="G688" s="256"/>
      <c r="H688" s="257"/>
    </row>
    <row r="689">
      <c r="E689" s="256"/>
      <c r="F689" s="256"/>
      <c r="G689" s="256"/>
      <c r="H689" s="257"/>
    </row>
    <row r="690">
      <c r="E690" s="256"/>
      <c r="F690" s="256"/>
      <c r="G690" s="256"/>
      <c r="H690" s="257"/>
    </row>
    <row r="691">
      <c r="E691" s="256"/>
      <c r="F691" s="256"/>
      <c r="G691" s="256"/>
      <c r="H691" s="257"/>
    </row>
    <row r="692">
      <c r="E692" s="256"/>
      <c r="F692" s="256"/>
      <c r="G692" s="256"/>
      <c r="H692" s="257"/>
    </row>
    <row r="693">
      <c r="E693" s="256"/>
      <c r="F693" s="256"/>
      <c r="G693" s="256"/>
      <c r="H693" s="257"/>
    </row>
    <row r="694">
      <c r="E694" s="256"/>
      <c r="F694" s="256"/>
      <c r="G694" s="256"/>
      <c r="H694" s="257"/>
    </row>
    <row r="695">
      <c r="E695" s="256"/>
      <c r="F695" s="256"/>
      <c r="G695" s="256"/>
      <c r="H695" s="257"/>
    </row>
    <row r="696">
      <c r="E696" s="256"/>
      <c r="F696" s="256"/>
      <c r="G696" s="256"/>
      <c r="H696" s="257"/>
    </row>
    <row r="697">
      <c r="E697" s="256"/>
      <c r="F697" s="256"/>
      <c r="G697" s="256"/>
      <c r="H697" s="257"/>
    </row>
    <row r="698">
      <c r="E698" s="256"/>
      <c r="F698" s="256"/>
      <c r="G698" s="256"/>
      <c r="H698" s="257"/>
    </row>
    <row r="699">
      <c r="E699" s="256"/>
      <c r="F699" s="256"/>
      <c r="G699" s="256"/>
      <c r="H699" s="257"/>
    </row>
    <row r="700">
      <c r="E700" s="256"/>
      <c r="F700" s="256"/>
      <c r="G700" s="256"/>
      <c r="H700" s="257"/>
    </row>
    <row r="701">
      <c r="E701" s="256"/>
      <c r="F701" s="256"/>
      <c r="G701" s="256"/>
      <c r="H701" s="257"/>
    </row>
    <row r="702">
      <c r="E702" s="256"/>
      <c r="F702" s="256"/>
      <c r="G702" s="256"/>
      <c r="H702" s="257"/>
    </row>
    <row r="703">
      <c r="E703" s="256"/>
      <c r="F703" s="256"/>
      <c r="G703" s="256"/>
      <c r="H703" s="257"/>
    </row>
    <row r="704">
      <c r="E704" s="256"/>
      <c r="F704" s="256"/>
      <c r="G704" s="256"/>
      <c r="H704" s="257"/>
    </row>
    <row r="705">
      <c r="E705" s="256"/>
      <c r="F705" s="256"/>
      <c r="G705" s="256"/>
      <c r="H705" s="257"/>
    </row>
    <row r="706">
      <c r="E706" s="256"/>
      <c r="F706" s="256"/>
      <c r="G706" s="256"/>
      <c r="H706" s="257"/>
    </row>
    <row r="707">
      <c r="E707" s="256"/>
      <c r="F707" s="256"/>
      <c r="G707" s="256"/>
      <c r="H707" s="257"/>
    </row>
    <row r="708">
      <c r="E708" s="256"/>
      <c r="F708" s="256"/>
      <c r="G708" s="256"/>
      <c r="H708" s="257"/>
    </row>
    <row r="709">
      <c r="E709" s="256"/>
      <c r="F709" s="256"/>
      <c r="G709" s="256"/>
      <c r="H709" s="257"/>
    </row>
    <row r="710">
      <c r="E710" s="256"/>
      <c r="F710" s="256"/>
      <c r="G710" s="256"/>
      <c r="H710" s="257"/>
    </row>
    <row r="711">
      <c r="E711" s="256"/>
      <c r="F711" s="256"/>
      <c r="G711" s="256"/>
      <c r="H711" s="257"/>
    </row>
    <row r="712">
      <c r="E712" s="256"/>
      <c r="F712" s="256"/>
      <c r="G712" s="256"/>
      <c r="H712" s="257"/>
    </row>
    <row r="713">
      <c r="E713" s="256"/>
      <c r="F713" s="256"/>
      <c r="G713" s="256"/>
      <c r="H713" s="257"/>
    </row>
    <row r="714">
      <c r="E714" s="256"/>
      <c r="F714" s="256"/>
      <c r="G714" s="256"/>
      <c r="H714" s="257"/>
    </row>
    <row r="715">
      <c r="E715" s="256"/>
      <c r="F715" s="256"/>
      <c r="G715" s="256"/>
      <c r="H715" s="257"/>
    </row>
    <row r="716">
      <c r="E716" s="256"/>
      <c r="F716" s="256"/>
      <c r="G716" s="256"/>
      <c r="H716" s="257"/>
    </row>
    <row r="717">
      <c r="E717" s="256"/>
      <c r="F717" s="256"/>
      <c r="G717" s="256"/>
      <c r="H717" s="257"/>
    </row>
    <row r="718">
      <c r="E718" s="256"/>
      <c r="F718" s="256"/>
      <c r="G718" s="256"/>
      <c r="H718" s="257"/>
    </row>
    <row r="719">
      <c r="E719" s="256"/>
      <c r="F719" s="256"/>
      <c r="G719" s="256"/>
      <c r="H719" s="257"/>
    </row>
    <row r="720">
      <c r="E720" s="256"/>
      <c r="F720" s="256"/>
      <c r="G720" s="256"/>
      <c r="H720" s="257"/>
    </row>
    <row r="721">
      <c r="E721" s="256"/>
      <c r="F721" s="256"/>
      <c r="G721" s="256"/>
      <c r="H721" s="257"/>
    </row>
    <row r="722">
      <c r="E722" s="256"/>
      <c r="F722" s="256"/>
      <c r="G722" s="256"/>
      <c r="H722" s="257"/>
    </row>
    <row r="723">
      <c r="E723" s="256"/>
      <c r="F723" s="256"/>
      <c r="G723" s="256"/>
      <c r="H723" s="257"/>
    </row>
    <row r="724">
      <c r="E724" s="256"/>
      <c r="F724" s="256"/>
      <c r="G724" s="256"/>
      <c r="H724" s="257"/>
    </row>
    <row r="725">
      <c r="E725" s="256"/>
      <c r="F725" s="256"/>
      <c r="G725" s="256"/>
      <c r="H725" s="257"/>
    </row>
    <row r="726">
      <c r="E726" s="256"/>
      <c r="F726" s="256"/>
      <c r="G726" s="256"/>
      <c r="H726" s="257"/>
    </row>
    <row r="727">
      <c r="E727" s="256"/>
      <c r="F727" s="256"/>
      <c r="G727" s="256"/>
      <c r="H727" s="257"/>
    </row>
    <row r="728">
      <c r="E728" s="256"/>
      <c r="F728" s="256"/>
      <c r="G728" s="256"/>
      <c r="H728" s="257"/>
    </row>
    <row r="729">
      <c r="E729" s="256"/>
      <c r="F729" s="256"/>
      <c r="G729" s="256"/>
      <c r="H729" s="257"/>
    </row>
    <row r="730">
      <c r="E730" s="256"/>
      <c r="F730" s="256"/>
      <c r="G730" s="256"/>
      <c r="H730" s="257"/>
    </row>
    <row r="731">
      <c r="E731" s="256"/>
      <c r="F731" s="256"/>
      <c r="G731" s="256"/>
      <c r="H731" s="257"/>
    </row>
    <row r="732">
      <c r="E732" s="256"/>
      <c r="F732" s="256"/>
      <c r="G732" s="256"/>
      <c r="H732" s="257"/>
    </row>
    <row r="733">
      <c r="E733" s="256"/>
      <c r="F733" s="256"/>
      <c r="G733" s="256"/>
      <c r="H733" s="257"/>
    </row>
    <row r="734">
      <c r="E734" s="256"/>
      <c r="F734" s="256"/>
      <c r="G734" s="256"/>
      <c r="H734" s="257"/>
    </row>
    <row r="735">
      <c r="E735" s="256"/>
      <c r="F735" s="256"/>
      <c r="G735" s="256"/>
      <c r="H735" s="257"/>
    </row>
    <row r="736">
      <c r="E736" s="256"/>
      <c r="F736" s="256"/>
      <c r="G736" s="256"/>
      <c r="H736" s="257"/>
    </row>
    <row r="737">
      <c r="E737" s="256"/>
      <c r="F737" s="256"/>
      <c r="G737" s="256"/>
      <c r="H737" s="257"/>
    </row>
    <row r="738">
      <c r="E738" s="256"/>
      <c r="F738" s="256"/>
      <c r="G738" s="256"/>
      <c r="H738" s="257"/>
    </row>
    <row r="739">
      <c r="E739" s="256"/>
      <c r="F739" s="256"/>
      <c r="G739" s="256"/>
      <c r="H739" s="257"/>
    </row>
    <row r="740">
      <c r="E740" s="256"/>
      <c r="F740" s="256"/>
      <c r="G740" s="256"/>
      <c r="H740" s="257"/>
    </row>
    <row r="741">
      <c r="E741" s="256"/>
      <c r="F741" s="256"/>
      <c r="G741" s="256"/>
      <c r="H741" s="257"/>
    </row>
    <row r="742">
      <c r="E742" s="256"/>
      <c r="F742" s="256"/>
      <c r="G742" s="256"/>
      <c r="H742" s="257"/>
    </row>
    <row r="743">
      <c r="E743" s="256"/>
      <c r="F743" s="256"/>
      <c r="G743" s="256"/>
      <c r="H743" s="257"/>
    </row>
    <row r="744">
      <c r="E744" s="256"/>
      <c r="F744" s="256"/>
      <c r="G744" s="256"/>
      <c r="H744" s="257"/>
    </row>
    <row r="745">
      <c r="E745" s="256"/>
      <c r="F745" s="256"/>
      <c r="G745" s="256"/>
      <c r="H745" s="257"/>
    </row>
    <row r="746">
      <c r="E746" s="256"/>
      <c r="F746" s="256"/>
      <c r="G746" s="256"/>
      <c r="H746" s="257"/>
    </row>
    <row r="747">
      <c r="E747" s="256"/>
      <c r="F747" s="256"/>
      <c r="G747" s="256"/>
      <c r="H747" s="257"/>
    </row>
    <row r="748">
      <c r="E748" s="256"/>
      <c r="F748" s="256"/>
      <c r="G748" s="256"/>
      <c r="H748" s="257"/>
    </row>
    <row r="749">
      <c r="E749" s="256"/>
      <c r="F749" s="256"/>
      <c r="G749" s="256"/>
      <c r="H749" s="257"/>
    </row>
    <row r="750">
      <c r="E750" s="256"/>
      <c r="F750" s="256"/>
      <c r="G750" s="256"/>
      <c r="H750" s="257"/>
    </row>
    <row r="751">
      <c r="E751" s="256"/>
      <c r="F751" s="256"/>
      <c r="G751" s="256"/>
      <c r="H751" s="257"/>
    </row>
    <row r="752">
      <c r="E752" s="256"/>
      <c r="F752" s="256"/>
      <c r="G752" s="256"/>
      <c r="H752" s="257"/>
    </row>
    <row r="753">
      <c r="E753" s="256"/>
      <c r="F753" s="256"/>
      <c r="G753" s="256"/>
      <c r="H753" s="257"/>
    </row>
    <row r="754">
      <c r="E754" s="256"/>
      <c r="F754" s="256"/>
      <c r="G754" s="256"/>
      <c r="H754" s="257"/>
    </row>
    <row r="755">
      <c r="E755" s="256"/>
      <c r="F755" s="256"/>
      <c r="G755" s="256"/>
      <c r="H755" s="257"/>
    </row>
    <row r="756">
      <c r="E756" s="256"/>
      <c r="F756" s="256"/>
      <c r="G756" s="256"/>
      <c r="H756" s="257"/>
    </row>
    <row r="757">
      <c r="E757" s="256"/>
      <c r="F757" s="256"/>
      <c r="G757" s="256"/>
      <c r="H757" s="257"/>
    </row>
    <row r="758">
      <c r="E758" s="256"/>
      <c r="F758" s="256"/>
      <c r="G758" s="256"/>
      <c r="H758" s="257"/>
    </row>
    <row r="759">
      <c r="E759" s="256"/>
      <c r="F759" s="256"/>
      <c r="G759" s="256"/>
      <c r="H759" s="257"/>
    </row>
    <row r="760">
      <c r="E760" s="256"/>
      <c r="F760" s="256"/>
      <c r="G760" s="256"/>
      <c r="H760" s="257"/>
    </row>
    <row r="761">
      <c r="E761" s="256"/>
      <c r="F761" s="256"/>
      <c r="G761" s="256"/>
      <c r="H761" s="257"/>
    </row>
    <row r="762">
      <c r="E762" s="256"/>
      <c r="F762" s="256"/>
      <c r="G762" s="256"/>
      <c r="H762" s="257"/>
    </row>
    <row r="763">
      <c r="E763" s="256"/>
      <c r="F763" s="256"/>
      <c r="G763" s="256"/>
      <c r="H763" s="257"/>
    </row>
    <row r="764">
      <c r="E764" s="256"/>
      <c r="F764" s="256"/>
      <c r="G764" s="256"/>
      <c r="H764" s="257"/>
    </row>
    <row r="765">
      <c r="E765" s="256"/>
      <c r="F765" s="256"/>
      <c r="G765" s="256"/>
      <c r="H765" s="257"/>
    </row>
    <row r="766">
      <c r="E766" s="256"/>
      <c r="F766" s="256"/>
      <c r="G766" s="256"/>
      <c r="H766" s="257"/>
    </row>
    <row r="767">
      <c r="E767" s="256"/>
      <c r="F767" s="256"/>
      <c r="G767" s="256"/>
      <c r="H767" s="257"/>
    </row>
    <row r="768">
      <c r="E768" s="256"/>
      <c r="F768" s="256"/>
      <c r="G768" s="256"/>
      <c r="H768" s="257"/>
    </row>
    <row r="769">
      <c r="E769" s="256"/>
      <c r="F769" s="256"/>
      <c r="G769" s="256"/>
      <c r="H769" s="257"/>
    </row>
    <row r="770">
      <c r="E770" s="256"/>
      <c r="F770" s="256"/>
      <c r="G770" s="256"/>
      <c r="H770" s="257"/>
    </row>
    <row r="771">
      <c r="E771" s="256"/>
      <c r="F771" s="256"/>
      <c r="G771" s="256"/>
      <c r="H771" s="257"/>
    </row>
    <row r="772">
      <c r="E772" s="256"/>
      <c r="F772" s="256"/>
      <c r="G772" s="256"/>
      <c r="H772" s="257"/>
    </row>
    <row r="773">
      <c r="E773" s="256"/>
      <c r="F773" s="256"/>
      <c r="G773" s="256"/>
      <c r="H773" s="257"/>
    </row>
    <row r="774">
      <c r="E774" s="256"/>
      <c r="F774" s="256"/>
      <c r="G774" s="256"/>
      <c r="H774" s="257"/>
    </row>
    <row r="775">
      <c r="E775" s="256"/>
      <c r="F775" s="256"/>
      <c r="G775" s="256"/>
      <c r="H775" s="257"/>
    </row>
    <row r="776">
      <c r="E776" s="256"/>
      <c r="F776" s="256"/>
      <c r="G776" s="256"/>
      <c r="H776" s="257"/>
    </row>
    <row r="777">
      <c r="E777" s="256"/>
      <c r="F777" s="256"/>
      <c r="G777" s="256"/>
      <c r="H777" s="257"/>
    </row>
    <row r="778">
      <c r="E778" s="256"/>
      <c r="F778" s="256"/>
      <c r="G778" s="256"/>
      <c r="H778" s="257"/>
    </row>
    <row r="779">
      <c r="E779" s="256"/>
      <c r="F779" s="256"/>
      <c r="G779" s="256"/>
      <c r="H779" s="257"/>
    </row>
    <row r="780">
      <c r="E780" s="256"/>
      <c r="F780" s="256"/>
      <c r="G780" s="256"/>
      <c r="H780" s="257"/>
    </row>
    <row r="781">
      <c r="E781" s="256"/>
      <c r="F781" s="256"/>
      <c r="G781" s="256"/>
      <c r="H781" s="257"/>
    </row>
    <row r="782">
      <c r="E782" s="256"/>
      <c r="F782" s="256"/>
      <c r="G782" s="256"/>
      <c r="H782" s="257"/>
    </row>
    <row r="783">
      <c r="E783" s="256"/>
      <c r="F783" s="256"/>
      <c r="G783" s="256"/>
      <c r="H783" s="257"/>
    </row>
    <row r="784">
      <c r="E784" s="256"/>
      <c r="F784" s="256"/>
      <c r="G784" s="256"/>
      <c r="H784" s="257"/>
    </row>
    <row r="785">
      <c r="E785" s="256"/>
      <c r="F785" s="256"/>
      <c r="G785" s="256"/>
      <c r="H785" s="257"/>
    </row>
    <row r="786">
      <c r="E786" s="256"/>
      <c r="F786" s="256"/>
      <c r="G786" s="256"/>
      <c r="H786" s="257"/>
    </row>
    <row r="787">
      <c r="E787" s="256"/>
      <c r="F787" s="256"/>
      <c r="G787" s="256"/>
      <c r="H787" s="257"/>
    </row>
    <row r="788">
      <c r="E788" s="256"/>
      <c r="F788" s="256"/>
      <c r="G788" s="256"/>
      <c r="H788" s="257"/>
    </row>
    <row r="789">
      <c r="E789" s="256"/>
      <c r="F789" s="256"/>
      <c r="G789" s="256"/>
      <c r="H789" s="257"/>
    </row>
    <row r="790">
      <c r="E790" s="256"/>
      <c r="F790" s="256"/>
      <c r="G790" s="256"/>
      <c r="H790" s="257"/>
    </row>
    <row r="791">
      <c r="E791" s="256"/>
      <c r="F791" s="256"/>
      <c r="G791" s="256"/>
      <c r="H791" s="257"/>
    </row>
    <row r="792">
      <c r="E792" s="256"/>
      <c r="F792" s="256"/>
      <c r="G792" s="256"/>
      <c r="H792" s="257"/>
    </row>
    <row r="793">
      <c r="E793" s="256"/>
      <c r="F793" s="256"/>
      <c r="G793" s="256"/>
      <c r="H793" s="257"/>
    </row>
    <row r="794">
      <c r="E794" s="256"/>
      <c r="F794" s="256"/>
      <c r="G794" s="256"/>
      <c r="H794" s="257"/>
    </row>
    <row r="795">
      <c r="E795" s="256"/>
      <c r="F795" s="256"/>
      <c r="G795" s="256"/>
      <c r="H795" s="257"/>
    </row>
    <row r="796">
      <c r="E796" s="256"/>
      <c r="F796" s="256"/>
      <c r="G796" s="256"/>
      <c r="H796" s="257"/>
    </row>
    <row r="797">
      <c r="E797" s="256"/>
      <c r="F797" s="256"/>
      <c r="G797" s="256"/>
      <c r="H797" s="257"/>
    </row>
    <row r="798">
      <c r="E798" s="256"/>
      <c r="F798" s="256"/>
      <c r="G798" s="256"/>
      <c r="H798" s="257"/>
    </row>
    <row r="799">
      <c r="E799" s="256"/>
      <c r="F799" s="256"/>
      <c r="G799" s="256"/>
      <c r="H799" s="257"/>
    </row>
    <row r="800">
      <c r="E800" s="256"/>
      <c r="F800" s="256"/>
      <c r="G800" s="256"/>
      <c r="H800" s="257"/>
    </row>
    <row r="801">
      <c r="E801" s="256"/>
      <c r="F801" s="256"/>
      <c r="G801" s="256"/>
      <c r="H801" s="257"/>
    </row>
    <row r="802">
      <c r="E802" s="256"/>
      <c r="F802" s="256"/>
      <c r="G802" s="256"/>
      <c r="H802" s="257"/>
    </row>
    <row r="803">
      <c r="E803" s="256"/>
      <c r="F803" s="256"/>
      <c r="G803" s="256"/>
      <c r="H803" s="257"/>
    </row>
    <row r="804">
      <c r="E804" s="256"/>
      <c r="F804" s="256"/>
      <c r="G804" s="256"/>
      <c r="H804" s="257"/>
    </row>
    <row r="805">
      <c r="E805" s="256"/>
      <c r="F805" s="256"/>
      <c r="G805" s="256"/>
      <c r="H805" s="257"/>
    </row>
    <row r="806">
      <c r="E806" s="256"/>
      <c r="F806" s="256"/>
      <c r="G806" s="256"/>
      <c r="H806" s="257"/>
    </row>
    <row r="807">
      <c r="E807" s="256"/>
      <c r="F807" s="256"/>
      <c r="G807" s="256"/>
      <c r="H807" s="257"/>
    </row>
    <row r="808">
      <c r="E808" s="256"/>
      <c r="F808" s="256"/>
      <c r="G808" s="256"/>
      <c r="H808" s="257"/>
    </row>
    <row r="809">
      <c r="E809" s="256"/>
      <c r="F809" s="256"/>
      <c r="G809" s="256"/>
      <c r="H809" s="257"/>
    </row>
    <row r="810">
      <c r="E810" s="256"/>
      <c r="F810" s="256"/>
      <c r="G810" s="256"/>
      <c r="H810" s="257"/>
    </row>
    <row r="811">
      <c r="E811" s="256"/>
      <c r="F811" s="256"/>
      <c r="G811" s="256"/>
      <c r="H811" s="257"/>
    </row>
    <row r="812">
      <c r="E812" s="256"/>
      <c r="F812" s="256"/>
      <c r="G812" s="256"/>
      <c r="H812" s="257"/>
    </row>
    <row r="813">
      <c r="E813" s="256"/>
      <c r="F813" s="256"/>
      <c r="G813" s="256"/>
      <c r="H813" s="257"/>
    </row>
    <row r="814">
      <c r="E814" s="256"/>
      <c r="F814" s="256"/>
      <c r="G814" s="256"/>
      <c r="H814" s="257"/>
    </row>
    <row r="815">
      <c r="E815" s="256"/>
      <c r="F815" s="256"/>
      <c r="G815" s="256"/>
      <c r="H815" s="257"/>
    </row>
    <row r="816">
      <c r="E816" s="256"/>
      <c r="F816" s="256"/>
      <c r="G816" s="256"/>
      <c r="H816" s="257"/>
    </row>
    <row r="817">
      <c r="E817" s="256"/>
      <c r="F817" s="256"/>
      <c r="G817" s="256"/>
      <c r="H817" s="257"/>
    </row>
    <row r="818">
      <c r="E818" s="256"/>
      <c r="F818" s="256"/>
      <c r="G818" s="256"/>
      <c r="H818" s="257"/>
    </row>
    <row r="819">
      <c r="E819" s="256"/>
      <c r="F819" s="256"/>
      <c r="G819" s="256"/>
      <c r="H819" s="257"/>
    </row>
    <row r="820">
      <c r="E820" s="256"/>
      <c r="F820" s="256"/>
      <c r="G820" s="256"/>
      <c r="H820" s="257"/>
    </row>
    <row r="821">
      <c r="E821" s="256"/>
      <c r="F821" s="256"/>
      <c r="G821" s="256"/>
      <c r="H821" s="257"/>
    </row>
    <row r="822">
      <c r="E822" s="256"/>
      <c r="F822" s="256"/>
      <c r="G822" s="256"/>
      <c r="H822" s="257"/>
    </row>
    <row r="823">
      <c r="E823" s="256"/>
      <c r="F823" s="256"/>
      <c r="G823" s="256"/>
      <c r="H823" s="257"/>
    </row>
    <row r="824">
      <c r="E824" s="256"/>
      <c r="F824" s="256"/>
      <c r="G824" s="256"/>
      <c r="H824" s="257"/>
    </row>
    <row r="825">
      <c r="E825" s="256"/>
      <c r="F825" s="256"/>
      <c r="G825" s="256"/>
      <c r="H825" s="257"/>
    </row>
    <row r="826">
      <c r="E826" s="256"/>
      <c r="F826" s="256"/>
      <c r="G826" s="256"/>
      <c r="H826" s="257"/>
    </row>
    <row r="827">
      <c r="E827" s="256"/>
      <c r="F827" s="256"/>
      <c r="G827" s="256"/>
      <c r="H827" s="257"/>
    </row>
    <row r="828">
      <c r="E828" s="256"/>
      <c r="F828" s="256"/>
      <c r="G828" s="256"/>
      <c r="H828" s="257"/>
    </row>
    <row r="829">
      <c r="E829" s="256"/>
      <c r="F829" s="256"/>
      <c r="G829" s="256"/>
      <c r="H829" s="257"/>
    </row>
    <row r="830">
      <c r="E830" s="256"/>
      <c r="F830" s="256"/>
      <c r="G830" s="256"/>
      <c r="H830" s="257"/>
    </row>
    <row r="831">
      <c r="E831" s="256"/>
      <c r="F831" s="256"/>
      <c r="G831" s="256"/>
      <c r="H831" s="257"/>
    </row>
    <row r="832">
      <c r="E832" s="256"/>
      <c r="F832" s="256"/>
      <c r="G832" s="256"/>
      <c r="H832" s="257"/>
    </row>
    <row r="833">
      <c r="E833" s="256"/>
      <c r="F833" s="256"/>
      <c r="G833" s="256"/>
      <c r="H833" s="257"/>
    </row>
    <row r="834">
      <c r="E834" s="256"/>
      <c r="F834" s="256"/>
      <c r="G834" s="256"/>
      <c r="H834" s="257"/>
    </row>
    <row r="835">
      <c r="E835" s="256"/>
      <c r="F835" s="256"/>
      <c r="G835" s="256"/>
      <c r="H835" s="257"/>
    </row>
    <row r="836">
      <c r="E836" s="256"/>
      <c r="F836" s="256"/>
      <c r="G836" s="256"/>
      <c r="H836" s="257"/>
    </row>
    <row r="837">
      <c r="E837" s="256"/>
      <c r="F837" s="256"/>
      <c r="G837" s="256"/>
      <c r="H837" s="257"/>
    </row>
    <row r="838">
      <c r="E838" s="256"/>
      <c r="F838" s="256"/>
      <c r="G838" s="256"/>
      <c r="H838" s="257"/>
    </row>
    <row r="839">
      <c r="E839" s="256"/>
      <c r="F839" s="256"/>
      <c r="G839" s="256"/>
      <c r="H839" s="257"/>
    </row>
    <row r="840">
      <c r="E840" s="256"/>
      <c r="F840" s="256"/>
      <c r="G840" s="256"/>
      <c r="H840" s="257"/>
    </row>
    <row r="841">
      <c r="E841" s="256"/>
      <c r="F841" s="256"/>
      <c r="G841" s="256"/>
      <c r="H841" s="257"/>
    </row>
    <row r="842">
      <c r="E842" s="256"/>
      <c r="F842" s="256"/>
      <c r="G842" s="256"/>
      <c r="H842" s="257"/>
    </row>
    <row r="843">
      <c r="E843" s="256"/>
      <c r="F843" s="256"/>
      <c r="G843" s="256"/>
      <c r="H843" s="257"/>
    </row>
    <row r="844">
      <c r="E844" s="256"/>
      <c r="F844" s="256"/>
      <c r="G844" s="256"/>
      <c r="H844" s="257"/>
    </row>
    <row r="845">
      <c r="E845" s="256"/>
      <c r="F845" s="256"/>
      <c r="G845" s="256"/>
      <c r="H845" s="257"/>
    </row>
    <row r="846">
      <c r="E846" s="256"/>
      <c r="F846" s="256"/>
      <c r="G846" s="256"/>
      <c r="H846" s="257"/>
    </row>
    <row r="847">
      <c r="E847" s="256"/>
      <c r="F847" s="256"/>
      <c r="G847" s="256"/>
      <c r="H847" s="257"/>
    </row>
    <row r="848">
      <c r="E848" s="256"/>
      <c r="F848" s="256"/>
      <c r="G848" s="256"/>
      <c r="H848" s="257"/>
    </row>
    <row r="849">
      <c r="E849" s="256"/>
      <c r="F849" s="256"/>
      <c r="G849" s="256"/>
      <c r="H849" s="257"/>
    </row>
    <row r="850">
      <c r="E850" s="256"/>
      <c r="F850" s="256"/>
      <c r="G850" s="256"/>
      <c r="H850" s="257"/>
    </row>
    <row r="851">
      <c r="E851" s="256"/>
      <c r="F851" s="256"/>
      <c r="G851" s="256"/>
      <c r="H851" s="257"/>
    </row>
    <row r="852">
      <c r="E852" s="256"/>
      <c r="F852" s="256"/>
      <c r="G852" s="256"/>
      <c r="H852" s="257"/>
    </row>
    <row r="853">
      <c r="E853" s="256"/>
      <c r="F853" s="256"/>
      <c r="G853" s="256"/>
      <c r="H853" s="257"/>
    </row>
    <row r="854">
      <c r="E854" s="256"/>
      <c r="F854" s="256"/>
      <c r="G854" s="256"/>
      <c r="H854" s="257"/>
    </row>
    <row r="855">
      <c r="E855" s="256"/>
      <c r="F855" s="256"/>
      <c r="G855" s="256"/>
      <c r="H855" s="257"/>
    </row>
    <row r="856">
      <c r="E856" s="256"/>
      <c r="F856" s="256"/>
      <c r="G856" s="256"/>
      <c r="H856" s="257"/>
    </row>
    <row r="857">
      <c r="E857" s="256"/>
      <c r="F857" s="256"/>
      <c r="G857" s="256"/>
      <c r="H857" s="257"/>
    </row>
    <row r="858">
      <c r="E858" s="256"/>
      <c r="F858" s="256"/>
      <c r="G858" s="256"/>
      <c r="H858" s="257"/>
    </row>
    <row r="859">
      <c r="E859" s="256"/>
      <c r="F859" s="256"/>
      <c r="G859" s="256"/>
      <c r="H859" s="257"/>
    </row>
    <row r="860">
      <c r="E860" s="256"/>
      <c r="F860" s="256"/>
      <c r="G860" s="256"/>
      <c r="H860" s="257"/>
    </row>
    <row r="861">
      <c r="E861" s="256"/>
      <c r="F861" s="256"/>
      <c r="G861" s="256"/>
      <c r="H861" s="257"/>
    </row>
    <row r="862">
      <c r="E862" s="256"/>
      <c r="F862" s="256"/>
      <c r="G862" s="256"/>
      <c r="H862" s="257"/>
    </row>
    <row r="863">
      <c r="E863" s="256"/>
      <c r="F863" s="256"/>
      <c r="G863" s="256"/>
      <c r="H863" s="257"/>
    </row>
    <row r="864">
      <c r="E864" s="256"/>
      <c r="F864" s="256"/>
      <c r="G864" s="256"/>
      <c r="H864" s="257"/>
    </row>
    <row r="865">
      <c r="E865" s="256"/>
      <c r="F865" s="256"/>
      <c r="G865" s="256"/>
      <c r="H865" s="257"/>
    </row>
    <row r="866">
      <c r="E866" s="256"/>
      <c r="F866" s="256"/>
      <c r="G866" s="256"/>
      <c r="H866" s="257"/>
    </row>
    <row r="867">
      <c r="E867" s="256"/>
      <c r="F867" s="256"/>
      <c r="G867" s="256"/>
      <c r="H867" s="257"/>
    </row>
    <row r="868">
      <c r="E868" s="256"/>
      <c r="F868" s="256"/>
      <c r="G868" s="256"/>
      <c r="H868" s="257"/>
    </row>
    <row r="869">
      <c r="E869" s="256"/>
      <c r="F869" s="256"/>
      <c r="G869" s="256"/>
      <c r="H869" s="257"/>
    </row>
    <row r="870">
      <c r="E870" s="256"/>
      <c r="F870" s="256"/>
      <c r="G870" s="256"/>
      <c r="H870" s="257"/>
    </row>
    <row r="871">
      <c r="E871" s="256"/>
      <c r="F871" s="256"/>
      <c r="G871" s="256"/>
      <c r="H871" s="257"/>
    </row>
    <row r="872">
      <c r="E872" s="256"/>
      <c r="F872" s="256"/>
      <c r="G872" s="256"/>
      <c r="H872" s="257"/>
    </row>
    <row r="873">
      <c r="E873" s="256"/>
      <c r="F873" s="256"/>
      <c r="G873" s="256"/>
      <c r="H873" s="257"/>
    </row>
    <row r="874">
      <c r="E874" s="256"/>
      <c r="F874" s="256"/>
      <c r="G874" s="256"/>
      <c r="H874" s="257"/>
    </row>
    <row r="875">
      <c r="E875" s="256"/>
      <c r="F875" s="256"/>
      <c r="G875" s="256"/>
      <c r="H875" s="257"/>
    </row>
    <row r="876">
      <c r="E876" s="256"/>
      <c r="F876" s="256"/>
      <c r="G876" s="256"/>
      <c r="H876" s="257"/>
    </row>
    <row r="877">
      <c r="E877" s="256"/>
      <c r="F877" s="256"/>
      <c r="G877" s="256"/>
      <c r="H877" s="257"/>
    </row>
    <row r="878">
      <c r="E878" s="256"/>
      <c r="F878" s="256"/>
      <c r="G878" s="256"/>
      <c r="H878" s="257"/>
    </row>
    <row r="879">
      <c r="E879" s="256"/>
      <c r="F879" s="256"/>
      <c r="G879" s="256"/>
      <c r="H879" s="257"/>
    </row>
    <row r="880">
      <c r="E880" s="256"/>
      <c r="F880" s="256"/>
      <c r="G880" s="256"/>
      <c r="H880" s="257"/>
    </row>
    <row r="881">
      <c r="E881" s="256"/>
      <c r="F881" s="256"/>
      <c r="G881" s="256"/>
      <c r="H881" s="257"/>
    </row>
    <row r="882">
      <c r="E882" s="256"/>
      <c r="F882" s="256"/>
      <c r="G882" s="256"/>
      <c r="H882" s="257"/>
    </row>
    <row r="883">
      <c r="E883" s="256"/>
      <c r="F883" s="256"/>
      <c r="G883" s="256"/>
      <c r="H883" s="257"/>
    </row>
    <row r="884">
      <c r="E884" s="256"/>
      <c r="F884" s="256"/>
      <c r="G884" s="256"/>
      <c r="H884" s="257"/>
    </row>
    <row r="885">
      <c r="E885" s="256"/>
      <c r="F885" s="256"/>
      <c r="G885" s="256"/>
      <c r="H885" s="257"/>
    </row>
    <row r="886">
      <c r="E886" s="256"/>
      <c r="F886" s="256"/>
      <c r="G886" s="256"/>
      <c r="H886" s="257"/>
    </row>
    <row r="887">
      <c r="E887" s="256"/>
      <c r="F887" s="256"/>
      <c r="G887" s="256"/>
      <c r="H887" s="257"/>
    </row>
    <row r="888">
      <c r="E888" s="256"/>
      <c r="F888" s="256"/>
      <c r="G888" s="256"/>
      <c r="H888" s="257"/>
    </row>
    <row r="889">
      <c r="E889" s="256"/>
      <c r="F889" s="256"/>
      <c r="G889" s="256"/>
      <c r="H889" s="257"/>
    </row>
    <row r="890">
      <c r="E890" s="256"/>
      <c r="F890" s="256"/>
      <c r="G890" s="256"/>
      <c r="H890" s="257"/>
    </row>
    <row r="891">
      <c r="E891" s="256"/>
      <c r="F891" s="256"/>
      <c r="G891" s="256"/>
      <c r="H891" s="257"/>
    </row>
    <row r="892">
      <c r="E892" s="256"/>
      <c r="F892" s="256"/>
      <c r="G892" s="256"/>
      <c r="H892" s="257"/>
    </row>
    <row r="893">
      <c r="E893" s="256"/>
      <c r="F893" s="256"/>
      <c r="G893" s="256"/>
      <c r="H893" s="257"/>
    </row>
    <row r="894">
      <c r="E894" s="256"/>
      <c r="F894" s="256"/>
      <c r="G894" s="256"/>
      <c r="H894" s="257"/>
    </row>
    <row r="895">
      <c r="E895" s="256"/>
      <c r="F895" s="256"/>
      <c r="G895" s="256"/>
      <c r="H895" s="257"/>
    </row>
    <row r="896">
      <c r="E896" s="256"/>
      <c r="F896" s="256"/>
      <c r="G896" s="256"/>
      <c r="H896" s="257"/>
    </row>
    <row r="897">
      <c r="E897" s="256"/>
      <c r="F897" s="256"/>
      <c r="G897" s="256"/>
      <c r="H897" s="257"/>
    </row>
    <row r="898">
      <c r="E898" s="256"/>
      <c r="F898" s="256"/>
      <c r="G898" s="256"/>
      <c r="H898" s="257"/>
    </row>
    <row r="899">
      <c r="E899" s="256"/>
      <c r="F899" s="256"/>
      <c r="G899" s="256"/>
      <c r="H899" s="257"/>
    </row>
    <row r="900">
      <c r="E900" s="256"/>
      <c r="F900" s="256"/>
      <c r="G900" s="256"/>
      <c r="H900" s="257"/>
    </row>
    <row r="901">
      <c r="E901" s="256"/>
      <c r="F901" s="256"/>
      <c r="G901" s="256"/>
      <c r="H901" s="257"/>
    </row>
    <row r="902">
      <c r="E902" s="256"/>
      <c r="F902" s="256"/>
      <c r="G902" s="256"/>
      <c r="H902" s="257"/>
    </row>
    <row r="903">
      <c r="E903" s="256"/>
      <c r="F903" s="256"/>
      <c r="G903" s="256"/>
      <c r="H903" s="257"/>
    </row>
    <row r="904">
      <c r="E904" s="256"/>
      <c r="F904" s="256"/>
      <c r="G904" s="256"/>
      <c r="H904" s="257"/>
    </row>
    <row r="905">
      <c r="E905" s="256"/>
      <c r="F905" s="256"/>
      <c r="G905" s="256"/>
      <c r="H905" s="257"/>
    </row>
    <row r="906">
      <c r="E906" s="256"/>
      <c r="F906" s="256"/>
      <c r="G906" s="256"/>
      <c r="H906" s="257"/>
    </row>
    <row r="907">
      <c r="E907" s="256"/>
      <c r="F907" s="256"/>
      <c r="G907" s="256"/>
      <c r="H907" s="257"/>
    </row>
    <row r="908">
      <c r="E908" s="256"/>
      <c r="F908" s="256"/>
      <c r="G908" s="256"/>
      <c r="H908" s="257"/>
    </row>
    <row r="909">
      <c r="E909" s="256"/>
      <c r="F909" s="256"/>
      <c r="G909" s="256"/>
      <c r="H909" s="257"/>
    </row>
    <row r="910">
      <c r="E910" s="256"/>
      <c r="F910" s="256"/>
      <c r="G910" s="256"/>
      <c r="H910" s="257"/>
    </row>
    <row r="911">
      <c r="E911" s="256"/>
      <c r="F911" s="256"/>
      <c r="G911" s="256"/>
      <c r="H911" s="257"/>
    </row>
    <row r="912">
      <c r="E912" s="256"/>
      <c r="F912" s="256"/>
      <c r="G912" s="256"/>
      <c r="H912" s="257"/>
    </row>
    <row r="913">
      <c r="E913" s="256"/>
      <c r="F913" s="256"/>
      <c r="G913" s="256"/>
      <c r="H913" s="257"/>
    </row>
    <row r="914">
      <c r="E914" s="256"/>
      <c r="F914" s="256"/>
      <c r="G914" s="256"/>
      <c r="H914" s="257"/>
    </row>
    <row r="915">
      <c r="E915" s="256"/>
      <c r="F915" s="256"/>
      <c r="G915" s="256"/>
      <c r="H915" s="257"/>
    </row>
    <row r="916">
      <c r="E916" s="256"/>
      <c r="F916" s="256"/>
      <c r="G916" s="256"/>
      <c r="H916" s="257"/>
    </row>
    <row r="917">
      <c r="E917" s="256"/>
      <c r="F917" s="256"/>
      <c r="G917" s="256"/>
      <c r="H917" s="257"/>
    </row>
    <row r="918">
      <c r="E918" s="256"/>
      <c r="F918" s="256"/>
      <c r="G918" s="256"/>
      <c r="H918" s="257"/>
    </row>
    <row r="919">
      <c r="E919" s="256"/>
      <c r="F919" s="256"/>
      <c r="G919" s="256"/>
      <c r="H919" s="257"/>
    </row>
    <row r="920">
      <c r="E920" s="256"/>
      <c r="F920" s="256"/>
      <c r="G920" s="256"/>
      <c r="H920" s="257"/>
    </row>
    <row r="921">
      <c r="E921" s="256"/>
      <c r="F921" s="256"/>
      <c r="G921" s="256"/>
      <c r="H921" s="257"/>
    </row>
    <row r="922">
      <c r="E922" s="256"/>
      <c r="F922" s="256"/>
      <c r="G922" s="256"/>
      <c r="H922" s="257"/>
    </row>
    <row r="923">
      <c r="E923" s="256"/>
      <c r="F923" s="256"/>
      <c r="G923" s="256"/>
      <c r="H923" s="257"/>
    </row>
    <row r="924">
      <c r="E924" s="256"/>
      <c r="F924" s="256"/>
      <c r="G924" s="256"/>
      <c r="H924" s="257"/>
    </row>
    <row r="925">
      <c r="E925" s="256"/>
      <c r="F925" s="256"/>
      <c r="G925" s="256"/>
      <c r="H925" s="257"/>
    </row>
    <row r="926">
      <c r="E926" s="256"/>
      <c r="F926" s="256"/>
      <c r="G926" s="256"/>
      <c r="H926" s="257"/>
    </row>
    <row r="927">
      <c r="E927" s="256"/>
      <c r="F927" s="256"/>
      <c r="G927" s="256"/>
      <c r="H927" s="257"/>
    </row>
    <row r="928">
      <c r="E928" s="256"/>
      <c r="F928" s="256"/>
      <c r="G928" s="256"/>
      <c r="H928" s="257"/>
    </row>
    <row r="929">
      <c r="E929" s="256"/>
      <c r="F929" s="256"/>
      <c r="G929" s="256"/>
      <c r="H929" s="257"/>
    </row>
    <row r="930">
      <c r="E930" s="256"/>
      <c r="F930" s="256"/>
      <c r="G930" s="256"/>
      <c r="H930" s="257"/>
    </row>
    <row r="931">
      <c r="E931" s="256"/>
      <c r="F931" s="256"/>
      <c r="G931" s="256"/>
      <c r="H931" s="257"/>
    </row>
    <row r="932">
      <c r="E932" s="256"/>
      <c r="F932" s="256"/>
      <c r="G932" s="256"/>
      <c r="H932" s="257"/>
    </row>
    <row r="933">
      <c r="E933" s="256"/>
      <c r="F933" s="256"/>
      <c r="G933" s="256"/>
      <c r="H933" s="257"/>
    </row>
    <row r="934">
      <c r="E934" s="256"/>
      <c r="F934" s="256"/>
      <c r="G934" s="256"/>
      <c r="H934" s="257"/>
    </row>
    <row r="935">
      <c r="E935" s="256"/>
      <c r="F935" s="256"/>
      <c r="G935" s="256"/>
      <c r="H935" s="257"/>
    </row>
    <row r="936">
      <c r="E936" s="256"/>
      <c r="F936" s="256"/>
      <c r="G936" s="256"/>
      <c r="H936" s="257"/>
    </row>
    <row r="937">
      <c r="E937" s="256"/>
      <c r="F937" s="256"/>
      <c r="G937" s="256"/>
      <c r="H937" s="257"/>
    </row>
    <row r="938">
      <c r="E938" s="256"/>
      <c r="F938" s="256"/>
      <c r="G938" s="256"/>
      <c r="H938" s="257"/>
    </row>
    <row r="939">
      <c r="E939" s="256"/>
      <c r="F939" s="256"/>
      <c r="G939" s="256"/>
      <c r="H939" s="257"/>
    </row>
    <row r="940">
      <c r="E940" s="256"/>
      <c r="F940" s="256"/>
      <c r="G940" s="256"/>
      <c r="H940" s="257"/>
    </row>
    <row r="941">
      <c r="E941" s="256"/>
      <c r="F941" s="256"/>
      <c r="G941" s="256"/>
      <c r="H941" s="257"/>
    </row>
    <row r="942">
      <c r="E942" s="256"/>
      <c r="F942" s="256"/>
      <c r="G942" s="256"/>
      <c r="H942" s="257"/>
    </row>
    <row r="943">
      <c r="E943" s="256"/>
      <c r="F943" s="256"/>
      <c r="G943" s="256"/>
      <c r="H943" s="257"/>
    </row>
    <row r="944">
      <c r="E944" s="256"/>
      <c r="F944" s="256"/>
      <c r="G944" s="256"/>
      <c r="H944" s="257"/>
    </row>
    <row r="945">
      <c r="E945" s="256"/>
      <c r="F945" s="256"/>
      <c r="G945" s="256"/>
      <c r="H945" s="257"/>
    </row>
    <row r="946">
      <c r="E946" s="256"/>
      <c r="F946" s="256"/>
      <c r="G946" s="256"/>
      <c r="H946" s="257"/>
    </row>
    <row r="947">
      <c r="E947" s="256"/>
      <c r="F947" s="256"/>
      <c r="G947" s="256"/>
      <c r="H947" s="257"/>
    </row>
    <row r="948">
      <c r="E948" s="256"/>
      <c r="F948" s="256"/>
      <c r="G948" s="256"/>
      <c r="H948" s="257"/>
    </row>
    <row r="949">
      <c r="E949" s="256"/>
      <c r="F949" s="256"/>
      <c r="G949" s="256"/>
      <c r="H949" s="257"/>
    </row>
    <row r="950">
      <c r="E950" s="256"/>
      <c r="F950" s="256"/>
      <c r="G950" s="256"/>
      <c r="H950" s="257"/>
    </row>
    <row r="951">
      <c r="E951" s="256"/>
      <c r="F951" s="256"/>
      <c r="G951" s="256"/>
      <c r="H951" s="257"/>
    </row>
    <row r="952">
      <c r="E952" s="256"/>
      <c r="F952" s="256"/>
      <c r="G952" s="256"/>
      <c r="H952" s="257"/>
    </row>
    <row r="953">
      <c r="E953" s="256"/>
      <c r="F953" s="256"/>
      <c r="G953" s="256"/>
      <c r="H953" s="257"/>
    </row>
    <row r="954">
      <c r="E954" s="256"/>
      <c r="F954" s="256"/>
      <c r="G954" s="256"/>
      <c r="H954" s="257"/>
    </row>
    <row r="955">
      <c r="E955" s="256"/>
      <c r="F955" s="256"/>
      <c r="G955" s="256"/>
      <c r="H955" s="257"/>
    </row>
    <row r="956">
      <c r="E956" s="256"/>
      <c r="F956" s="256"/>
      <c r="G956" s="256"/>
      <c r="H956" s="257"/>
    </row>
    <row r="957">
      <c r="E957" s="256"/>
      <c r="F957" s="256"/>
      <c r="G957" s="256"/>
      <c r="H957" s="257"/>
    </row>
    <row r="958">
      <c r="E958" s="256"/>
      <c r="F958" s="256"/>
      <c r="G958" s="256"/>
      <c r="H958" s="257"/>
    </row>
    <row r="959">
      <c r="E959" s="256"/>
      <c r="F959" s="256"/>
      <c r="G959" s="256"/>
      <c r="H959" s="257"/>
    </row>
    <row r="960">
      <c r="E960" s="256"/>
      <c r="F960" s="256"/>
      <c r="G960" s="256"/>
      <c r="H960" s="257"/>
    </row>
    <row r="961">
      <c r="E961" s="256"/>
      <c r="F961" s="256"/>
      <c r="G961" s="256"/>
      <c r="H961" s="257"/>
    </row>
    <row r="962">
      <c r="E962" s="256"/>
      <c r="F962" s="256"/>
      <c r="G962" s="256"/>
      <c r="H962" s="257"/>
    </row>
    <row r="963">
      <c r="E963" s="256"/>
      <c r="F963" s="256"/>
      <c r="G963" s="256"/>
      <c r="H963" s="257"/>
    </row>
    <row r="964">
      <c r="E964" s="256"/>
      <c r="F964" s="256"/>
      <c r="G964" s="256"/>
      <c r="H964" s="257"/>
    </row>
    <row r="965">
      <c r="E965" s="256"/>
      <c r="F965" s="256"/>
      <c r="G965" s="256"/>
      <c r="H965" s="257"/>
    </row>
    <row r="966">
      <c r="E966" s="256"/>
      <c r="F966" s="256"/>
      <c r="G966" s="256"/>
      <c r="H966" s="257"/>
    </row>
    <row r="967">
      <c r="E967" s="256"/>
      <c r="F967" s="256"/>
      <c r="G967" s="256"/>
      <c r="H967" s="257"/>
    </row>
    <row r="968">
      <c r="E968" s="256"/>
      <c r="F968" s="256"/>
      <c r="G968" s="256"/>
      <c r="H968" s="257"/>
    </row>
    <row r="969">
      <c r="E969" s="256"/>
      <c r="F969" s="256"/>
      <c r="G969" s="256"/>
      <c r="H969" s="257"/>
    </row>
    <row r="970">
      <c r="E970" s="256"/>
      <c r="F970" s="256"/>
      <c r="G970" s="256"/>
      <c r="H970" s="257"/>
    </row>
    <row r="971">
      <c r="E971" s="256"/>
      <c r="F971" s="256"/>
      <c r="G971" s="256"/>
      <c r="H971" s="257"/>
    </row>
    <row r="972">
      <c r="E972" s="256"/>
      <c r="F972" s="256"/>
      <c r="G972" s="256"/>
      <c r="H972" s="257"/>
    </row>
    <row r="973">
      <c r="E973" s="256"/>
      <c r="F973" s="256"/>
      <c r="G973" s="256"/>
      <c r="H973" s="257"/>
    </row>
    <row r="974">
      <c r="E974" s="256"/>
      <c r="F974" s="256"/>
      <c r="G974" s="256"/>
      <c r="H974" s="257"/>
    </row>
    <row r="975">
      <c r="E975" s="256"/>
      <c r="F975" s="256"/>
      <c r="G975" s="256"/>
      <c r="H975" s="257"/>
    </row>
    <row r="976">
      <c r="E976" s="256"/>
      <c r="F976" s="256"/>
      <c r="G976" s="256"/>
      <c r="H976" s="257"/>
    </row>
    <row r="977">
      <c r="E977" s="256"/>
      <c r="F977" s="256"/>
      <c r="G977" s="256"/>
      <c r="H977" s="257"/>
    </row>
    <row r="978">
      <c r="E978" s="256"/>
      <c r="F978" s="256"/>
      <c r="G978" s="256"/>
      <c r="H978" s="257"/>
    </row>
    <row r="979">
      <c r="E979" s="256"/>
      <c r="F979" s="256"/>
      <c r="G979" s="256"/>
      <c r="H979" s="257"/>
    </row>
    <row r="980">
      <c r="E980" s="256"/>
      <c r="F980" s="256"/>
      <c r="G980" s="256"/>
      <c r="H980" s="257"/>
    </row>
    <row r="981">
      <c r="E981" s="256"/>
      <c r="F981" s="256"/>
      <c r="G981" s="256"/>
      <c r="H981" s="257"/>
    </row>
    <row r="982">
      <c r="E982" s="256"/>
      <c r="F982" s="256"/>
      <c r="G982" s="256"/>
      <c r="H982" s="257"/>
    </row>
    <row r="983">
      <c r="E983" s="256"/>
      <c r="F983" s="256"/>
      <c r="G983" s="256"/>
      <c r="H983" s="257"/>
    </row>
    <row r="984">
      <c r="E984" s="256"/>
      <c r="F984" s="256"/>
      <c r="G984" s="256"/>
      <c r="H984" s="257"/>
    </row>
    <row r="985">
      <c r="E985" s="256"/>
      <c r="F985" s="256"/>
      <c r="G985" s="256"/>
      <c r="H985" s="257"/>
    </row>
    <row r="986">
      <c r="E986" s="256"/>
      <c r="F986" s="256"/>
      <c r="G986" s="256"/>
      <c r="H986" s="257"/>
    </row>
    <row r="987">
      <c r="E987" s="256"/>
      <c r="F987" s="256"/>
      <c r="G987" s="256"/>
      <c r="H987" s="257"/>
    </row>
    <row r="988">
      <c r="E988" s="256"/>
      <c r="F988" s="256"/>
      <c r="G988" s="256"/>
      <c r="H988" s="257"/>
    </row>
    <row r="989">
      <c r="E989" s="256"/>
      <c r="F989" s="256"/>
      <c r="G989" s="256"/>
      <c r="H989" s="257"/>
    </row>
    <row r="990">
      <c r="E990" s="256"/>
      <c r="F990" s="256"/>
      <c r="G990" s="256"/>
      <c r="H990" s="257"/>
    </row>
    <row r="991">
      <c r="E991" s="256"/>
      <c r="F991" s="256"/>
      <c r="G991" s="256"/>
      <c r="H991" s="257"/>
    </row>
    <row r="992">
      <c r="E992" s="256"/>
      <c r="F992" s="256"/>
      <c r="G992" s="256"/>
      <c r="H992" s="257"/>
    </row>
    <row r="993">
      <c r="E993" s="256"/>
      <c r="F993" s="256"/>
      <c r="G993" s="256"/>
      <c r="H993" s="257"/>
    </row>
    <row r="994">
      <c r="E994" s="256"/>
      <c r="F994" s="256"/>
      <c r="G994" s="256"/>
      <c r="H994" s="257"/>
    </row>
    <row r="995">
      <c r="E995" s="256"/>
      <c r="F995" s="256"/>
      <c r="G995" s="256"/>
      <c r="H995" s="257"/>
    </row>
    <row r="996">
      <c r="E996" s="256"/>
      <c r="F996" s="256"/>
      <c r="G996" s="256"/>
      <c r="H996" s="257"/>
    </row>
    <row r="997">
      <c r="E997" s="256"/>
      <c r="F997" s="256"/>
      <c r="G997" s="256"/>
      <c r="H997" s="257"/>
    </row>
    <row r="998">
      <c r="E998" s="256"/>
      <c r="F998" s="256"/>
      <c r="G998" s="256"/>
      <c r="H998" s="257"/>
    </row>
    <row r="999">
      <c r="E999" s="256"/>
      <c r="F999" s="256"/>
      <c r="G999" s="256"/>
      <c r="H999" s="257"/>
    </row>
    <row r="1000">
      <c r="E1000" s="256"/>
      <c r="F1000" s="256"/>
      <c r="G1000" s="256"/>
      <c r="H1000" s="257"/>
    </row>
    <row r="1001">
      <c r="E1001" s="256"/>
      <c r="F1001" s="256"/>
      <c r="G1001" s="256"/>
      <c r="H1001" s="257"/>
    </row>
    <row r="1002">
      <c r="E1002" s="256"/>
      <c r="F1002" s="256"/>
      <c r="G1002" s="256"/>
      <c r="H1002" s="257"/>
    </row>
    <row r="1003">
      <c r="E1003" s="256"/>
      <c r="F1003" s="256"/>
      <c r="G1003" s="256"/>
      <c r="H1003" s="257"/>
    </row>
    <row r="1004">
      <c r="E1004" s="256"/>
      <c r="F1004" s="256"/>
      <c r="G1004" s="256"/>
      <c r="H1004" s="257"/>
    </row>
    <row r="1005">
      <c r="E1005" s="256"/>
      <c r="F1005" s="256"/>
      <c r="G1005" s="256"/>
      <c r="H1005" s="257"/>
    </row>
    <row r="1006">
      <c r="E1006" s="256"/>
      <c r="F1006" s="256"/>
      <c r="G1006" s="256"/>
      <c r="H1006" s="257"/>
    </row>
    <row r="1007">
      <c r="E1007" s="256"/>
      <c r="F1007" s="256"/>
      <c r="G1007" s="256"/>
      <c r="H1007" s="257"/>
    </row>
    <row r="1008">
      <c r="E1008" s="256"/>
      <c r="F1008" s="256"/>
      <c r="G1008" s="256"/>
      <c r="H1008" s="257"/>
    </row>
    <row r="1009">
      <c r="E1009" s="256"/>
      <c r="F1009" s="256"/>
      <c r="G1009" s="256"/>
      <c r="H1009" s="257"/>
    </row>
    <row r="1010">
      <c r="E1010" s="256"/>
      <c r="F1010" s="256"/>
      <c r="G1010" s="256"/>
      <c r="H1010" s="257"/>
    </row>
    <row r="1011">
      <c r="E1011" s="256"/>
      <c r="F1011" s="256"/>
      <c r="G1011" s="256"/>
      <c r="H1011" s="257"/>
    </row>
  </sheetData>
  <mergeCells count="18">
    <mergeCell ref="A8:A10"/>
    <mergeCell ref="A11:A12"/>
    <mergeCell ref="A13:A16"/>
    <mergeCell ref="A18:A19"/>
    <mergeCell ref="A20:A21"/>
    <mergeCell ref="A22:A23"/>
    <mergeCell ref="G11:G12"/>
    <mergeCell ref="G13:G16"/>
    <mergeCell ref="G18:G19"/>
    <mergeCell ref="G20:G21"/>
    <mergeCell ref="G22:G23"/>
    <mergeCell ref="A3:A4"/>
    <mergeCell ref="G3:G4"/>
    <mergeCell ref="A5:A7"/>
    <mergeCell ref="G5:G7"/>
    <mergeCell ref="H6:H7"/>
    <mergeCell ref="G8:G10"/>
    <mergeCell ref="H9:H10"/>
  </mergeCells>
  <dataValidations>
    <dataValidation type="list" allowBlank="1" showErrorMessage="1" sqref="I3:K3 I5:K5 I8:K8 I11:K11 I13:K13 I17:K18 I20:K20 I22:K22 I24:K24">
      <formula1>"O,△,X,SAFE"</formula1>
    </dataValidation>
  </dataValidations>
  <hyperlinks>
    <hyperlink r:id="rId2" ref="C14"/>
    <hyperlink r:id="rId3" ref="C15"/>
  </hyperlinks>
  <drawing r:id="rId4"/>
  <legacy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57"/>
    <col customWidth="1" min="3" max="3" width="16.14"/>
    <col customWidth="1" min="6" max="6" width="16.29"/>
    <col customWidth="1" min="7" max="7" width="62.86"/>
    <col customWidth="1" min="8" max="8" width="13.71"/>
  </cols>
  <sheetData>
    <row r="1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9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</row>
    <row r="2">
      <c r="A2" s="338"/>
      <c r="B2" s="338"/>
      <c r="C2" s="338"/>
      <c r="D2" s="338"/>
      <c r="E2" s="338"/>
      <c r="F2" s="338"/>
      <c r="G2" s="338"/>
      <c r="H2" s="338"/>
      <c r="I2" s="338"/>
      <c r="J2" s="338"/>
      <c r="M2" s="339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</row>
    <row r="3">
      <c r="A3" s="338"/>
      <c r="B3" s="340" t="s">
        <v>8</v>
      </c>
      <c r="C3" s="341" t="s">
        <v>262</v>
      </c>
      <c r="D3" s="341" t="s">
        <v>263</v>
      </c>
      <c r="E3" s="342" t="s">
        <v>264</v>
      </c>
      <c r="F3" s="343" t="s">
        <v>265</v>
      </c>
      <c r="G3" s="344" t="s">
        <v>41</v>
      </c>
      <c r="H3" s="338"/>
      <c r="I3" s="338"/>
      <c r="J3" s="338"/>
      <c r="K3" s="338"/>
      <c r="L3" s="338"/>
      <c r="M3" s="339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</row>
    <row r="4">
      <c r="A4" s="338"/>
      <c r="B4" s="345" t="s">
        <v>134</v>
      </c>
      <c r="C4" s="346">
        <v>38.0</v>
      </c>
      <c r="D4" s="347">
        <v>2.352E9</v>
      </c>
      <c r="E4" s="348">
        <v>1.79E8</v>
      </c>
      <c r="F4" s="349">
        <f t="shared" ref="F4:F7" si="1">D4/E4</f>
        <v>13.1396648</v>
      </c>
      <c r="G4" s="350" t="s">
        <v>266</v>
      </c>
      <c r="H4" s="338"/>
      <c r="I4" s="338"/>
      <c r="J4" s="338"/>
      <c r="K4" s="338"/>
      <c r="L4" s="338"/>
      <c r="M4" s="339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</row>
    <row r="5">
      <c r="A5" s="338"/>
      <c r="B5" s="345" t="s">
        <v>139</v>
      </c>
      <c r="C5" s="346">
        <v>7.0</v>
      </c>
      <c r="D5" s="347">
        <v>1.414745582E9</v>
      </c>
      <c r="E5" s="348">
        <v>5.11452217E8</v>
      </c>
      <c r="F5" s="349">
        <f t="shared" si="1"/>
        <v>2.766134421</v>
      </c>
      <c r="G5" s="350" t="s">
        <v>267</v>
      </c>
      <c r="H5" s="338"/>
      <c r="I5" s="338"/>
      <c r="J5" s="338"/>
      <c r="K5" s="338"/>
      <c r="L5" s="338"/>
      <c r="M5" s="339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</row>
    <row r="6">
      <c r="A6" s="338"/>
      <c r="B6" s="345" t="s">
        <v>136</v>
      </c>
      <c r="C6" s="346">
        <v>20.0</v>
      </c>
      <c r="D6" s="347">
        <v>4.021561628E9</v>
      </c>
      <c r="E6" s="348">
        <v>2.33412878E8</v>
      </c>
      <c r="F6" s="349">
        <f t="shared" si="1"/>
        <v>17.22939052</v>
      </c>
      <c r="G6" s="350"/>
      <c r="H6" s="338"/>
      <c r="I6" s="338"/>
      <c r="J6" s="338"/>
      <c r="K6" s="338"/>
      <c r="L6" s="338"/>
      <c r="M6" s="339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</row>
    <row r="7">
      <c r="A7" s="338"/>
      <c r="B7" s="345" t="s">
        <v>268</v>
      </c>
      <c r="C7" s="346">
        <v>6.0</v>
      </c>
      <c r="D7" s="347">
        <v>6.27912175E8</v>
      </c>
      <c r="E7" s="348">
        <v>3.6791221E7</v>
      </c>
      <c r="F7" s="349">
        <f t="shared" si="1"/>
        <v>17.06690232</v>
      </c>
      <c r="G7" s="350"/>
      <c r="H7" s="338"/>
      <c r="I7" s="338"/>
      <c r="J7" s="338"/>
      <c r="K7" s="338"/>
      <c r="L7" s="338"/>
      <c r="M7" s="339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</row>
    <row r="8">
      <c r="A8" s="338"/>
      <c r="B8" s="345" t="s">
        <v>133</v>
      </c>
      <c r="C8" s="346" t="s">
        <v>269</v>
      </c>
      <c r="D8" s="347">
        <v>1.69253772E8</v>
      </c>
      <c r="E8" s="348">
        <v>-1.4439112E7</v>
      </c>
      <c r="F8" s="349" t="s">
        <v>269</v>
      </c>
      <c r="G8" s="350"/>
      <c r="H8" s="338"/>
      <c r="I8" s="338"/>
      <c r="J8" s="338"/>
      <c r="K8" s="338"/>
      <c r="L8" s="338"/>
      <c r="M8" s="339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338"/>
      <c r="AB8" s="338"/>
    </row>
    <row r="9">
      <c r="A9" s="338"/>
      <c r="B9" s="345" t="s">
        <v>137</v>
      </c>
      <c r="C9" s="346">
        <v>14.0</v>
      </c>
      <c r="D9" s="347">
        <v>8.66751208E8</v>
      </c>
      <c r="E9" s="348">
        <v>8.0489E7</v>
      </c>
      <c r="F9" s="349">
        <f t="shared" ref="F9:F11" si="2">D9/E9</f>
        <v>10.76856723</v>
      </c>
      <c r="G9" s="350"/>
      <c r="H9" s="338"/>
      <c r="I9" s="338"/>
      <c r="J9" s="338"/>
      <c r="K9" s="338"/>
      <c r="L9" s="338"/>
      <c r="M9" s="339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</row>
    <row r="10">
      <c r="A10" s="338"/>
      <c r="B10" s="345" t="s">
        <v>270</v>
      </c>
      <c r="C10" s="346">
        <v>8.0</v>
      </c>
      <c r="D10" s="347">
        <v>6.5724922E7</v>
      </c>
      <c r="E10" s="348">
        <v>2.0341904E7</v>
      </c>
      <c r="F10" s="349">
        <f t="shared" si="2"/>
        <v>3.231011315</v>
      </c>
      <c r="G10" s="350" t="s">
        <v>271</v>
      </c>
      <c r="H10" s="338"/>
      <c r="I10" s="338"/>
      <c r="J10" s="338"/>
      <c r="K10" s="338"/>
      <c r="L10" s="338"/>
      <c r="M10" s="339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38"/>
      <c r="Y10" s="338"/>
      <c r="Z10" s="338"/>
      <c r="AA10" s="338"/>
      <c r="AB10" s="338"/>
    </row>
    <row r="11">
      <c r="A11" s="338"/>
      <c r="B11" s="351" t="s">
        <v>146</v>
      </c>
      <c r="C11" s="352">
        <v>1.5</v>
      </c>
      <c r="D11" s="353">
        <v>4401249.0</v>
      </c>
      <c r="E11" s="354">
        <v>730838.0</v>
      </c>
      <c r="F11" s="355">
        <f t="shared" si="2"/>
        <v>6.022195069</v>
      </c>
      <c r="G11" s="356" t="s">
        <v>272</v>
      </c>
      <c r="H11" s="338"/>
      <c r="I11" s="338"/>
      <c r="J11" s="338"/>
      <c r="K11" s="338"/>
      <c r="L11" s="338"/>
      <c r="M11" s="339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</row>
    <row r="12">
      <c r="A12" s="338"/>
      <c r="B12" s="338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9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  <c r="AA12" s="338"/>
      <c r="AB12" s="338"/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9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</row>
    <row r="14">
      <c r="A14" s="338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9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</row>
    <row r="15">
      <c r="A15" s="338"/>
      <c r="B15" s="338"/>
      <c r="C15" s="338"/>
      <c r="D15" s="338"/>
      <c r="E15" s="338"/>
      <c r="F15" s="338"/>
      <c r="G15" s="338"/>
      <c r="H15" s="338"/>
      <c r="I15" s="338"/>
      <c r="J15" s="338"/>
      <c r="K15" s="338"/>
      <c r="L15" s="338"/>
      <c r="M15" s="339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</row>
    <row r="16">
      <c r="A16" s="338"/>
      <c r="B16" s="338"/>
      <c r="C16" s="338"/>
      <c r="D16" s="338"/>
      <c r="E16" s="338"/>
      <c r="F16" s="338"/>
      <c r="G16" s="338"/>
      <c r="H16" s="338"/>
      <c r="I16" s="338"/>
      <c r="J16" s="338"/>
      <c r="K16" s="338"/>
      <c r="L16" s="338"/>
      <c r="M16" s="339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</row>
    <row r="17">
      <c r="A17" s="338"/>
      <c r="B17" s="338"/>
      <c r="C17" s="338"/>
      <c r="D17" s="338"/>
      <c r="E17" s="338"/>
      <c r="F17" s="338"/>
      <c r="G17" s="338"/>
      <c r="H17" s="338"/>
      <c r="I17" s="338"/>
      <c r="J17" s="338"/>
      <c r="K17" s="338"/>
      <c r="L17" s="338"/>
      <c r="M17" s="339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8"/>
      <c r="AB17" s="338"/>
    </row>
    <row r="18">
      <c r="A18" s="338"/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9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338"/>
      <c r="AB18" s="338"/>
    </row>
    <row r="19">
      <c r="A19" s="338"/>
      <c r="B19" s="338"/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9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338"/>
      <c r="AB19" s="338"/>
    </row>
    <row r="20">
      <c r="A20" s="338"/>
      <c r="B20" s="338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9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</row>
    <row r="21">
      <c r="A21" s="338"/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9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</row>
    <row r="22">
      <c r="A22" s="338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9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</row>
    <row r="23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9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338"/>
      <c r="AB23" s="338"/>
    </row>
    <row r="24">
      <c r="A24" s="338"/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339"/>
      <c r="N24" s="338"/>
      <c r="O24" s="338"/>
      <c r="P24" s="338"/>
      <c r="Q24" s="338"/>
      <c r="R24" s="338"/>
      <c r="S24" s="338"/>
      <c r="T24" s="338"/>
      <c r="U24" s="338"/>
      <c r="V24" s="338"/>
      <c r="W24" s="338"/>
      <c r="X24" s="338"/>
      <c r="Y24" s="338"/>
      <c r="Z24" s="338"/>
      <c r="AA24" s="338"/>
      <c r="AB24" s="338"/>
    </row>
    <row r="25">
      <c r="A25" s="338"/>
      <c r="B25" s="338"/>
      <c r="C25" s="338"/>
      <c r="D25" s="338"/>
      <c r="E25" s="338"/>
      <c r="F25" s="338"/>
      <c r="G25" s="338"/>
      <c r="H25" s="338"/>
      <c r="I25" s="338"/>
      <c r="J25" s="338"/>
      <c r="K25" s="338"/>
      <c r="L25" s="338"/>
      <c r="M25" s="339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8"/>
      <c r="AA25" s="338"/>
      <c r="AB25" s="338"/>
    </row>
    <row r="26">
      <c r="A26" s="338"/>
      <c r="B26" s="338"/>
      <c r="C26" s="338"/>
      <c r="D26" s="338"/>
      <c r="E26" s="338"/>
      <c r="F26" s="338"/>
      <c r="G26" s="338"/>
      <c r="H26" s="338"/>
      <c r="I26" s="338"/>
      <c r="J26" s="338"/>
      <c r="K26" s="338"/>
      <c r="L26" s="338"/>
      <c r="M26" s="339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/>
      <c r="AA26" s="338"/>
      <c r="AB26" s="338"/>
    </row>
    <row r="27">
      <c r="A27" s="338"/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9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A27" s="338"/>
      <c r="AB27" s="338"/>
    </row>
    <row r="28">
      <c r="A28" s="338"/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9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</row>
    <row r="29">
      <c r="A29" s="338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9"/>
      <c r="N29" s="338"/>
      <c r="O29" s="338"/>
      <c r="P29" s="338"/>
      <c r="Q29" s="338"/>
      <c r="R29" s="338"/>
      <c r="S29" s="338"/>
      <c r="T29" s="338"/>
      <c r="U29" s="338"/>
      <c r="V29" s="338"/>
      <c r="W29" s="338"/>
      <c r="X29" s="338"/>
      <c r="Y29" s="338"/>
      <c r="Z29" s="338"/>
      <c r="AA29" s="338"/>
      <c r="AB29" s="338"/>
    </row>
    <row r="30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9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</row>
    <row r="31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9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</row>
    <row r="32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9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</row>
    <row r="33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9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</row>
    <row r="34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9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</row>
    <row r="35">
      <c r="A35" s="338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9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8"/>
      <c r="Y35" s="338"/>
      <c r="Z35" s="338"/>
      <c r="AA35" s="338"/>
      <c r="AB35" s="338"/>
    </row>
    <row r="36">
      <c r="A36" s="338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9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  <c r="Z36" s="338"/>
      <c r="AA36" s="338"/>
      <c r="AB36" s="338"/>
    </row>
    <row r="37">
      <c r="A37" s="338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9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</row>
    <row r="38">
      <c r="A38" s="338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9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338"/>
      <c r="AB38" s="338"/>
    </row>
    <row r="39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9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  <c r="AA39" s="338"/>
      <c r="AB39" s="338"/>
    </row>
    <row r="40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9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  <c r="AA40" s="338"/>
      <c r="AB40" s="338"/>
    </row>
    <row r="41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9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338"/>
      <c r="AB41" s="338"/>
    </row>
    <row r="42">
      <c r="A42" s="338"/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9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  <c r="AA42" s="338"/>
      <c r="AB42" s="338"/>
    </row>
    <row r="43">
      <c r="A43" s="338"/>
      <c r="B43" s="338"/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9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  <c r="AA43" s="338"/>
      <c r="AB43" s="338"/>
    </row>
    <row r="44">
      <c r="A44" s="338"/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9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  <c r="AA44" s="338"/>
      <c r="AB44" s="338"/>
    </row>
    <row r="45">
      <c r="A45" s="338"/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9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  <c r="AA45" s="338"/>
      <c r="AB45" s="338"/>
    </row>
    <row r="46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9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  <c r="AA46" s="338"/>
      <c r="AB46" s="338"/>
    </row>
    <row r="47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9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</row>
    <row r="48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9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  <c r="AA48" s="338"/>
      <c r="AB48" s="338"/>
    </row>
    <row r="49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9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  <c r="AA49" s="338"/>
      <c r="AB49" s="338"/>
    </row>
    <row r="50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9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  <c r="AA50" s="338"/>
      <c r="AB50" s="338"/>
    </row>
    <row r="51">
      <c r="A51" s="338"/>
      <c r="B51" s="338"/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9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  <c r="AA51" s="338"/>
      <c r="AB51" s="338"/>
    </row>
    <row r="52">
      <c r="A52" s="338"/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9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</row>
    <row r="53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9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  <c r="AA53" s="338"/>
      <c r="AB53" s="338"/>
    </row>
    <row r="54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9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  <c r="AA54" s="338"/>
      <c r="AB54" s="338"/>
    </row>
    <row r="55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9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</row>
    <row r="56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39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  <c r="AA56" s="338"/>
      <c r="AB56" s="338"/>
    </row>
    <row r="57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9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</row>
    <row r="58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9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  <c r="AA58" s="338"/>
      <c r="AB58" s="338"/>
    </row>
    <row r="59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9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</row>
    <row r="60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9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338"/>
      <c r="AB60" s="338"/>
    </row>
    <row r="6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9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338"/>
      <c r="AB61" s="338"/>
    </row>
    <row r="62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39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</row>
    <row r="63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9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</row>
    <row r="64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9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338"/>
      <c r="AB64" s="338"/>
    </row>
    <row r="65">
      <c r="A65" s="338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9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  <c r="AA65" s="338"/>
      <c r="AB65" s="338"/>
    </row>
    <row r="66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9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  <c r="AA66" s="338"/>
      <c r="AB66" s="338"/>
    </row>
    <row r="67">
      <c r="A67" s="338"/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9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  <c r="AA67" s="338"/>
      <c r="AB67" s="338"/>
    </row>
    <row r="68">
      <c r="A68" s="338"/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  <c r="M68" s="339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  <c r="AA68" s="338"/>
      <c r="AB68" s="338"/>
    </row>
    <row r="69">
      <c r="A69" s="338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9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338"/>
      <c r="AB69" s="338"/>
    </row>
    <row r="70">
      <c r="A70" s="338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9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  <c r="AA70" s="338"/>
      <c r="AB70" s="338"/>
    </row>
    <row r="71">
      <c r="A71" s="338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9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338"/>
      <c r="AB71" s="338"/>
    </row>
    <row r="72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9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  <c r="AA72" s="338"/>
      <c r="AB72" s="338"/>
    </row>
    <row r="73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9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</row>
    <row r="74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39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338"/>
      <c r="AB74" s="338"/>
    </row>
    <row r="75">
      <c r="A75" s="338"/>
      <c r="B75" s="338"/>
      <c r="C75" s="338"/>
      <c r="D75" s="338"/>
      <c r="E75" s="338"/>
      <c r="F75" s="338"/>
      <c r="G75" s="338"/>
      <c r="H75" s="338"/>
      <c r="I75" s="338"/>
      <c r="J75" s="338"/>
      <c r="K75" s="338"/>
      <c r="L75" s="338"/>
      <c r="M75" s="339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  <c r="AA75" s="338"/>
      <c r="AB75" s="338"/>
    </row>
    <row r="76">
      <c r="A76" s="338"/>
      <c r="B76" s="338"/>
      <c r="C76" s="338"/>
      <c r="D76" s="338"/>
      <c r="E76" s="338"/>
      <c r="F76" s="338"/>
      <c r="G76" s="338"/>
      <c r="H76" s="338"/>
      <c r="I76" s="338"/>
      <c r="J76" s="338"/>
      <c r="K76" s="338"/>
      <c r="L76" s="338"/>
      <c r="M76" s="339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38"/>
      <c r="AA76" s="338"/>
      <c r="AB76" s="338"/>
    </row>
    <row r="77">
      <c r="A77" s="338"/>
      <c r="B77" s="338"/>
      <c r="C77" s="338"/>
      <c r="D77" s="338"/>
      <c r="E77" s="338"/>
      <c r="F77" s="338"/>
      <c r="G77" s="338"/>
      <c r="H77" s="338"/>
      <c r="I77" s="338"/>
      <c r="J77" s="338"/>
      <c r="K77" s="338"/>
      <c r="L77" s="338"/>
      <c r="M77" s="339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38"/>
      <c r="AA77" s="338"/>
      <c r="AB77" s="338"/>
    </row>
    <row r="78">
      <c r="A78" s="338"/>
      <c r="B78" s="338"/>
      <c r="C78" s="338"/>
      <c r="D78" s="338"/>
      <c r="E78" s="338"/>
      <c r="F78" s="338"/>
      <c r="G78" s="338"/>
      <c r="H78" s="338"/>
      <c r="I78" s="338"/>
      <c r="J78" s="338"/>
      <c r="K78" s="338"/>
      <c r="L78" s="338"/>
      <c r="M78" s="339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  <c r="AA78" s="338"/>
      <c r="AB78" s="338"/>
    </row>
    <row r="79">
      <c r="A79" s="338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39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A79" s="338"/>
      <c r="AB79" s="338"/>
    </row>
    <row r="80">
      <c r="A80" s="338"/>
      <c r="B80" s="338"/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39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  <c r="Z80" s="338"/>
      <c r="AA80" s="338"/>
      <c r="AB80" s="338"/>
    </row>
    <row r="81">
      <c r="A81" s="338"/>
      <c r="B81" s="338"/>
      <c r="C81" s="338"/>
      <c r="D81" s="338"/>
      <c r="E81" s="338"/>
      <c r="F81" s="338"/>
      <c r="G81" s="338"/>
      <c r="H81" s="338"/>
      <c r="I81" s="338"/>
      <c r="J81" s="338"/>
      <c r="K81" s="338"/>
      <c r="L81" s="338"/>
      <c r="M81" s="339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38"/>
      <c r="AA81" s="338"/>
      <c r="AB81" s="338"/>
    </row>
    <row r="82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39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  <c r="AA82" s="338"/>
      <c r="AB82" s="338"/>
    </row>
    <row r="83">
      <c r="A83" s="338"/>
      <c r="B83" s="338"/>
      <c r="C83" s="338"/>
      <c r="D83" s="338"/>
      <c r="E83" s="338"/>
      <c r="F83" s="338"/>
      <c r="G83" s="338"/>
      <c r="H83" s="338"/>
      <c r="I83" s="338"/>
      <c r="J83" s="338"/>
      <c r="K83" s="338"/>
      <c r="L83" s="338"/>
      <c r="M83" s="339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  <c r="AA83" s="338"/>
      <c r="AB83" s="338"/>
    </row>
    <row r="84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39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38"/>
      <c r="AA84" s="338"/>
      <c r="AB84" s="338"/>
    </row>
    <row r="85">
      <c r="A85" s="338"/>
      <c r="B85" s="338"/>
      <c r="C85" s="338"/>
      <c r="D85" s="338"/>
      <c r="E85" s="338"/>
      <c r="F85" s="338"/>
      <c r="G85" s="338"/>
      <c r="H85" s="338"/>
      <c r="I85" s="338"/>
      <c r="J85" s="338"/>
      <c r="K85" s="338"/>
      <c r="L85" s="338"/>
      <c r="M85" s="339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8"/>
      <c r="Y85" s="338"/>
      <c r="Z85" s="338"/>
      <c r="AA85" s="338"/>
      <c r="AB85" s="338"/>
    </row>
    <row r="86">
      <c r="A86" s="338"/>
      <c r="B86" s="338"/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39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  <c r="AA86" s="338"/>
      <c r="AB86" s="338"/>
    </row>
    <row r="87">
      <c r="A87" s="338"/>
      <c r="B87" s="338"/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9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338"/>
      <c r="AB87" s="338"/>
    </row>
    <row r="88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39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338"/>
      <c r="AB88" s="338"/>
    </row>
    <row r="89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39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  <c r="AA89" s="338"/>
      <c r="AB89" s="338"/>
    </row>
    <row r="90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39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  <c r="AA90" s="338"/>
      <c r="AB90" s="338"/>
    </row>
    <row r="9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9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</row>
    <row r="92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/>
      <c r="M92" s="339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A92" s="338"/>
      <c r="AB92" s="338"/>
    </row>
    <row r="93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39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  <c r="AA93" s="338"/>
      <c r="AB93" s="338"/>
    </row>
    <row r="94">
      <c r="A94" s="338"/>
      <c r="B94" s="338"/>
      <c r="C94" s="338"/>
      <c r="D94" s="338"/>
      <c r="E94" s="338"/>
      <c r="F94" s="338"/>
      <c r="G94" s="338"/>
      <c r="H94" s="338"/>
      <c r="I94" s="338"/>
      <c r="J94" s="338"/>
      <c r="K94" s="338"/>
      <c r="L94" s="338"/>
      <c r="M94" s="339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8"/>
      <c r="AB94" s="338"/>
    </row>
    <row r="95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K95" s="338"/>
      <c r="L95" s="338"/>
      <c r="M95" s="339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  <c r="AA95" s="338"/>
      <c r="AB95" s="338"/>
    </row>
    <row r="96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39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  <c r="AA96" s="338"/>
      <c r="AB96" s="338"/>
    </row>
    <row r="97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39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  <c r="AA97" s="338"/>
      <c r="AB97" s="338"/>
    </row>
    <row r="98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39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A98" s="338"/>
      <c r="AB98" s="338"/>
    </row>
    <row r="99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39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A99" s="338"/>
      <c r="AB99" s="338"/>
    </row>
    <row r="100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9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  <c r="AA100" s="338"/>
      <c r="AB100" s="338"/>
    </row>
    <row r="10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9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  <c r="AA101" s="338"/>
      <c r="AB101" s="338"/>
    </row>
    <row r="102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9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  <c r="AA102" s="338"/>
      <c r="AB102" s="338"/>
    </row>
    <row r="103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9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  <c r="AA103" s="338"/>
      <c r="AB103" s="338"/>
    </row>
    <row r="104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9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338"/>
      <c r="AB104" s="338"/>
    </row>
    <row r="105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39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8"/>
      <c r="AB105" s="338"/>
    </row>
    <row r="106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9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338"/>
      <c r="AB106" s="338"/>
    </row>
    <row r="107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39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  <c r="AA107" s="338"/>
      <c r="AB107" s="338"/>
    </row>
    <row r="108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9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  <c r="AA108" s="338"/>
      <c r="AB108" s="338"/>
    </row>
    <row r="109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9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  <c r="AA109" s="338"/>
      <c r="AB109" s="338"/>
    </row>
    <row r="110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9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  <c r="AA110" s="338"/>
      <c r="AB110" s="338"/>
    </row>
    <row r="11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9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  <c r="AA111" s="338"/>
      <c r="AB111" s="338"/>
    </row>
    <row r="112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9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338"/>
      <c r="AB112" s="338"/>
    </row>
    <row r="113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9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  <c r="AA113" s="338"/>
      <c r="AB113" s="338"/>
    </row>
    <row r="114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9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  <c r="AA114" s="338"/>
      <c r="AB114" s="338"/>
    </row>
    <row r="115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9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338"/>
      <c r="AB115" s="338"/>
    </row>
    <row r="116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9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338"/>
      <c r="AB116" s="338"/>
    </row>
    <row r="117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9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338"/>
      <c r="AB117" s="338"/>
    </row>
    <row r="118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9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  <c r="AA118" s="338"/>
      <c r="AB118" s="338"/>
    </row>
    <row r="119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9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338"/>
      <c r="AB119" s="338"/>
    </row>
    <row r="120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9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</row>
    <row r="12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9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</row>
    <row r="122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9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  <c r="AA122" s="338"/>
      <c r="AB122" s="338"/>
    </row>
    <row r="123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9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  <c r="AA123" s="338"/>
      <c r="AB123" s="338"/>
    </row>
    <row r="124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9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  <c r="AA124" s="338"/>
      <c r="AB124" s="338"/>
    </row>
    <row r="125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9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  <c r="AA125" s="338"/>
      <c r="AB125" s="338"/>
    </row>
    <row r="126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9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  <c r="AA126" s="338"/>
      <c r="AB126" s="338"/>
    </row>
    <row r="127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9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  <c r="AA127" s="338"/>
      <c r="AB127" s="338"/>
    </row>
    <row r="128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9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  <c r="AA128" s="338"/>
      <c r="AB128" s="338"/>
    </row>
    <row r="129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9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338"/>
      <c r="AB129" s="338"/>
    </row>
    <row r="130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9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338"/>
      <c r="AB130" s="338"/>
    </row>
    <row r="13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9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  <c r="AA131" s="338"/>
      <c r="AB131" s="338"/>
    </row>
    <row r="132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9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  <c r="AA132" s="338"/>
      <c r="AB132" s="338"/>
    </row>
    <row r="133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9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  <c r="AA133" s="338"/>
      <c r="AB133" s="338"/>
    </row>
    <row r="134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9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  <c r="AA134" s="338"/>
      <c r="AB134" s="338"/>
    </row>
    <row r="135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9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  <c r="AA135" s="338"/>
      <c r="AB135" s="338"/>
    </row>
    <row r="136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9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338"/>
      <c r="AB136" s="338"/>
    </row>
    <row r="137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9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338"/>
      <c r="AB137" s="338"/>
    </row>
    <row r="138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9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338"/>
      <c r="AB138" s="338"/>
    </row>
    <row r="139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9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338"/>
      <c r="AB139" s="338"/>
    </row>
    <row r="140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9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  <c r="AA140" s="338"/>
      <c r="AB140" s="338"/>
    </row>
    <row r="14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9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  <c r="AA141" s="338"/>
      <c r="AB141" s="338"/>
    </row>
    <row r="142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9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  <c r="AA142" s="338"/>
      <c r="AB142" s="338"/>
    </row>
    <row r="143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9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338"/>
      <c r="AB143" s="338"/>
    </row>
    <row r="144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9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338"/>
      <c r="AB144" s="338"/>
    </row>
    <row r="145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9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  <c r="AA145" s="338"/>
      <c r="AB145" s="338"/>
    </row>
    <row r="146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9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  <c r="AA146" s="338"/>
      <c r="AB146" s="338"/>
    </row>
    <row r="147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9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</row>
    <row r="148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9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338"/>
      <c r="AB148" s="338"/>
    </row>
    <row r="149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9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</row>
    <row r="150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9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</row>
    <row r="15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9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338"/>
      <c r="AB151" s="338"/>
    </row>
    <row r="152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9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338"/>
      <c r="AB152" s="338"/>
    </row>
    <row r="153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9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338"/>
      <c r="AB153" s="338"/>
    </row>
    <row r="154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9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338"/>
      <c r="AB154" s="338"/>
    </row>
    <row r="155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9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338"/>
      <c r="AB155" s="338"/>
    </row>
    <row r="156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9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338"/>
      <c r="AB156" s="338"/>
    </row>
    <row r="157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9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338"/>
      <c r="AB157" s="338"/>
    </row>
    <row r="158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9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</row>
    <row r="159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9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</row>
    <row r="160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9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  <c r="AA160" s="338"/>
      <c r="AB160" s="338"/>
    </row>
    <row r="16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9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338"/>
      <c r="AB161" s="338"/>
    </row>
    <row r="162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9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  <c r="AA162" s="338"/>
      <c r="AB162" s="338"/>
    </row>
    <row r="163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9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  <c r="AA163" s="338"/>
      <c r="AB163" s="338"/>
    </row>
    <row r="164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9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338"/>
      <c r="AB164" s="338"/>
    </row>
    <row r="165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9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338"/>
      <c r="AB165" s="338"/>
    </row>
    <row r="166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9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338"/>
      <c r="AB166" s="338"/>
    </row>
    <row r="167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9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  <c r="AA167" s="338"/>
      <c r="AB167" s="338"/>
    </row>
    <row r="168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9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  <c r="AA168" s="338"/>
      <c r="AB168" s="338"/>
    </row>
    <row r="169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9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338"/>
      <c r="AB169" s="338"/>
    </row>
    <row r="170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9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  <c r="AA170" s="338"/>
      <c r="AB170" s="338"/>
    </row>
    <row r="17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9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</row>
    <row r="172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9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</row>
    <row r="173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9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</row>
    <row r="174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9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338"/>
      <c r="AB174" s="338"/>
    </row>
    <row r="175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9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338"/>
      <c r="AB175" s="338"/>
    </row>
    <row r="176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9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  <c r="AA176" s="338"/>
      <c r="AB176" s="338"/>
    </row>
    <row r="177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9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  <c r="AA177" s="338"/>
      <c r="AB177" s="338"/>
    </row>
    <row r="178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9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</row>
    <row r="179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9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</row>
    <row r="180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9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</row>
    <row r="18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9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</row>
    <row r="182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9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</row>
    <row r="183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9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</row>
    <row r="184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9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</row>
    <row r="185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9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</row>
    <row r="186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9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</row>
    <row r="187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9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</row>
    <row r="188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9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</row>
    <row r="189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9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</row>
    <row r="190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9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</row>
    <row r="19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9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</row>
    <row r="192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9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</row>
    <row r="193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9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</row>
    <row r="194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9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</row>
    <row r="195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9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</row>
    <row r="196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9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</row>
    <row r="197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9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</row>
    <row r="198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9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</row>
    <row r="199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9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</row>
    <row r="200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9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</row>
    <row r="20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9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</row>
    <row r="202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9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</row>
    <row r="203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9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</row>
    <row r="204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9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</row>
    <row r="205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9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</row>
    <row r="206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9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</row>
    <row r="207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9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</row>
    <row r="208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9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</row>
    <row r="209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9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</row>
    <row r="210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9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</row>
    <row r="21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9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</row>
    <row r="212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9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</row>
    <row r="213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9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</row>
    <row r="214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9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</row>
    <row r="215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9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</row>
    <row r="216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9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</row>
    <row r="217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9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</row>
    <row r="218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9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</row>
    <row r="219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9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</row>
    <row r="220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9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</row>
    <row r="22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9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</row>
    <row r="222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9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</row>
    <row r="223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9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</row>
    <row r="224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9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</row>
    <row r="225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9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</row>
    <row r="226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9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</row>
    <row r="227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9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</row>
    <row r="228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9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</row>
    <row r="229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9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</row>
    <row r="230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9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</row>
    <row r="23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9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</row>
    <row r="232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9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</row>
    <row r="233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9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</row>
    <row r="234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9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</row>
    <row r="235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9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</row>
    <row r="236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9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</row>
    <row r="237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9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</row>
    <row r="238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9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</row>
    <row r="239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9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</row>
    <row r="240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9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</row>
    <row r="24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9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</row>
    <row r="242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9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</row>
    <row r="243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9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</row>
    <row r="244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9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</row>
    <row r="245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9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</row>
    <row r="246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9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</row>
    <row r="247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9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</row>
    <row r="248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9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</row>
    <row r="249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9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</row>
    <row r="250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9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</row>
    <row r="25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9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</row>
    <row r="252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9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</row>
    <row r="253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9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</row>
    <row r="254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9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</row>
    <row r="255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9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</row>
    <row r="256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9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</row>
    <row r="257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9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</row>
    <row r="258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9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</row>
    <row r="259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9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</row>
    <row r="260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9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</row>
    <row r="26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9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</row>
    <row r="262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9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</row>
    <row r="263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9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</row>
    <row r="264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9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</row>
    <row r="265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9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</row>
    <row r="266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9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</row>
    <row r="267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9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</row>
    <row r="268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9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</row>
    <row r="269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9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</row>
    <row r="270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9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</row>
    <row r="27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9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</row>
    <row r="272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9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</row>
    <row r="273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9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</row>
    <row r="274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9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</row>
    <row r="275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9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</row>
    <row r="276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9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</row>
    <row r="277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9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</row>
    <row r="278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9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</row>
    <row r="279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9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</row>
    <row r="280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9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</row>
    <row r="28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9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</row>
    <row r="282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9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</row>
    <row r="283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9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</row>
    <row r="284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9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</row>
    <row r="285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9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</row>
    <row r="286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9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</row>
    <row r="287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9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</row>
    <row r="288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9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</row>
    <row r="289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9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</row>
    <row r="290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9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</row>
    <row r="29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9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</row>
    <row r="292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9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</row>
    <row r="293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9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</row>
    <row r="294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9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</row>
    <row r="295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9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</row>
    <row r="296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9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</row>
    <row r="297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9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</row>
    <row r="298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9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</row>
    <row r="299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9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</row>
    <row r="300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9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</row>
    <row r="30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9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</row>
    <row r="302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9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</row>
    <row r="303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9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</row>
    <row r="304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9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</row>
    <row r="305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9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</row>
    <row r="306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9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</row>
    <row r="307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9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</row>
    <row r="308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9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</row>
    <row r="309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9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</row>
    <row r="310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9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</row>
    <row r="31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9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</row>
    <row r="312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9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</row>
    <row r="313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9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</row>
    <row r="314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9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</row>
    <row r="315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9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</row>
    <row r="316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9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</row>
    <row r="317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9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</row>
    <row r="318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9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</row>
    <row r="319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9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</row>
    <row r="320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9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</row>
    <row r="32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9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</row>
    <row r="322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9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</row>
    <row r="323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9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</row>
    <row r="324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9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</row>
    <row r="325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9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</row>
    <row r="326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9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</row>
    <row r="327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9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</row>
    <row r="328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9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</row>
    <row r="329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9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</row>
    <row r="330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9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</row>
    <row r="33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9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</row>
    <row r="332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9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</row>
    <row r="333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9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</row>
    <row r="334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9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</row>
    <row r="335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9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</row>
    <row r="336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9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</row>
    <row r="337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9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</row>
    <row r="338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9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</row>
    <row r="339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9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</row>
    <row r="340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9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</row>
    <row r="34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9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</row>
    <row r="342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9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</row>
    <row r="343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9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</row>
    <row r="344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9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</row>
    <row r="345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9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</row>
    <row r="346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9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</row>
    <row r="347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9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</row>
    <row r="348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9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</row>
    <row r="349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9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</row>
    <row r="350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9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</row>
    <row r="35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9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</row>
    <row r="352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9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</row>
    <row r="353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9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</row>
    <row r="354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9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</row>
    <row r="355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9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</row>
    <row r="356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9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</row>
    <row r="357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9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</row>
    <row r="358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9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</row>
    <row r="359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9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</row>
    <row r="360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9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</row>
    <row r="36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9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</row>
    <row r="362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9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</row>
    <row r="363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9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</row>
    <row r="364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9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</row>
    <row r="365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9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</row>
    <row r="366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9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</row>
    <row r="367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9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</row>
    <row r="368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9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</row>
    <row r="369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9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</row>
    <row r="370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9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</row>
    <row r="37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9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</row>
    <row r="372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9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</row>
    <row r="373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9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</row>
    <row r="374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9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</row>
    <row r="375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9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</row>
    <row r="376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9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</row>
    <row r="377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9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</row>
    <row r="378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9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</row>
    <row r="379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9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</row>
    <row r="380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9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</row>
    <row r="38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9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</row>
    <row r="382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9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</row>
    <row r="383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9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</row>
    <row r="384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9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</row>
    <row r="385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9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</row>
    <row r="386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9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</row>
    <row r="387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9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</row>
    <row r="388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9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</row>
    <row r="389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9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</row>
    <row r="390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9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</row>
    <row r="39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9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</row>
    <row r="392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9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</row>
    <row r="393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9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</row>
    <row r="394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9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</row>
    <row r="395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9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</row>
    <row r="396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9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</row>
    <row r="397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9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</row>
    <row r="398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9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</row>
    <row r="399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9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</row>
    <row r="400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9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</row>
    <row r="40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9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</row>
    <row r="402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9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</row>
    <row r="403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9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</row>
    <row r="404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9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</row>
    <row r="405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9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</row>
    <row r="406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9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</row>
    <row r="407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9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</row>
    <row r="408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9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</row>
    <row r="409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9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</row>
    <row r="410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9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</row>
    <row r="41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9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</row>
    <row r="412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9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</row>
    <row r="413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9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</row>
    <row r="414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9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</row>
    <row r="415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9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</row>
    <row r="416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9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</row>
    <row r="417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9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</row>
    <row r="418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9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</row>
    <row r="419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9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</row>
    <row r="420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9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</row>
    <row r="42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9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</row>
    <row r="422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9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</row>
    <row r="423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9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</row>
    <row r="424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9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</row>
    <row r="425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9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</row>
    <row r="426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9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</row>
    <row r="427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9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</row>
    <row r="428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9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</row>
    <row r="429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9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</row>
    <row r="430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9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</row>
    <row r="43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9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</row>
    <row r="432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9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</row>
    <row r="433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9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</row>
    <row r="434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9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</row>
    <row r="435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9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</row>
    <row r="436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9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</row>
    <row r="437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9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</row>
    <row r="438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9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</row>
    <row r="439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9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</row>
    <row r="440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9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</row>
    <row r="44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9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</row>
    <row r="442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9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</row>
    <row r="443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9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</row>
    <row r="444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9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</row>
    <row r="445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9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</row>
    <row r="446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9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</row>
    <row r="447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9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</row>
    <row r="448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9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</row>
    <row r="449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9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</row>
    <row r="450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9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</row>
    <row r="45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9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</row>
    <row r="452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9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</row>
    <row r="453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9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</row>
    <row r="454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9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</row>
    <row r="455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9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</row>
    <row r="456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9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</row>
    <row r="457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9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</row>
    <row r="458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9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</row>
    <row r="459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9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</row>
    <row r="460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9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</row>
    <row r="46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9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</row>
    <row r="462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9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</row>
    <row r="463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9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</row>
    <row r="464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9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</row>
    <row r="465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9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</row>
    <row r="466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9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</row>
    <row r="467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9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</row>
    <row r="468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9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</row>
    <row r="469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9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</row>
    <row r="470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9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</row>
    <row r="47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9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</row>
    <row r="472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9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</row>
    <row r="473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9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</row>
    <row r="474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9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</row>
    <row r="475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9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</row>
    <row r="476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9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</row>
    <row r="477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9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</row>
    <row r="478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9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</row>
    <row r="479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9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</row>
    <row r="480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9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</row>
    <row r="48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9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</row>
    <row r="482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9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</row>
    <row r="483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9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</row>
    <row r="484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9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</row>
    <row r="485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9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</row>
    <row r="486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9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</row>
    <row r="487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9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</row>
    <row r="488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9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</row>
    <row r="489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9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</row>
    <row r="490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9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</row>
    <row r="49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9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</row>
    <row r="492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9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</row>
    <row r="493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9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</row>
    <row r="494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9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</row>
    <row r="495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9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</row>
    <row r="496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9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</row>
    <row r="497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9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</row>
    <row r="498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9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</row>
    <row r="499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9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</row>
    <row r="500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9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</row>
    <row r="50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9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</row>
    <row r="502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9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</row>
    <row r="503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9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</row>
    <row r="504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9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</row>
    <row r="505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9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</row>
    <row r="506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9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</row>
    <row r="507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9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</row>
    <row r="508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9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</row>
    <row r="509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9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</row>
    <row r="510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9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</row>
    <row r="51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9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</row>
    <row r="512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9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</row>
    <row r="513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9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</row>
    <row r="514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9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</row>
    <row r="515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9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</row>
    <row r="516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9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</row>
    <row r="517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9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</row>
    <row r="518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9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</row>
    <row r="519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9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</row>
    <row r="520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9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</row>
    <row r="52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9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</row>
    <row r="522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9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</row>
    <row r="523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9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</row>
    <row r="524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9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</row>
    <row r="525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9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</row>
    <row r="526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9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</row>
    <row r="527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9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</row>
    <row r="528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9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</row>
    <row r="529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9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</row>
    <row r="530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9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</row>
    <row r="53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9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</row>
    <row r="532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9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</row>
    <row r="533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9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</row>
    <row r="534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9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</row>
    <row r="535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9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</row>
    <row r="536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9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</row>
    <row r="537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9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</row>
    <row r="538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9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</row>
    <row r="539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9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</row>
    <row r="540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9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</row>
    <row r="54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9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</row>
    <row r="542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9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</row>
    <row r="543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9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</row>
    <row r="544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9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</row>
    <row r="545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9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</row>
    <row r="546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9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</row>
    <row r="547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9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</row>
    <row r="548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9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</row>
    <row r="549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9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</row>
    <row r="550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9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</row>
    <row r="55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9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</row>
    <row r="552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9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</row>
    <row r="553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9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</row>
    <row r="554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9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</row>
    <row r="555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9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</row>
    <row r="556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9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</row>
    <row r="557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9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</row>
    <row r="558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9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</row>
    <row r="559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9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</row>
    <row r="560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9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</row>
    <row r="56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9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</row>
    <row r="562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9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</row>
    <row r="563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9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</row>
    <row r="564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9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</row>
    <row r="565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9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</row>
    <row r="566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9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</row>
    <row r="567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9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</row>
    <row r="568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9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</row>
    <row r="569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9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</row>
    <row r="570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9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</row>
    <row r="57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9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</row>
    <row r="572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9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</row>
    <row r="573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9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</row>
    <row r="574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9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</row>
    <row r="575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9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</row>
    <row r="576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9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</row>
    <row r="577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9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</row>
    <row r="578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9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</row>
    <row r="579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9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</row>
    <row r="580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9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</row>
    <row r="58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9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</row>
    <row r="582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9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</row>
    <row r="583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9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</row>
    <row r="584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9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</row>
    <row r="585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9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</row>
    <row r="586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9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</row>
    <row r="587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9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</row>
    <row r="588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9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</row>
    <row r="589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9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</row>
    <row r="590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9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</row>
    <row r="59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9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</row>
    <row r="592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9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</row>
    <row r="593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9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</row>
    <row r="594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9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</row>
    <row r="595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9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</row>
    <row r="596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9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</row>
    <row r="597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9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</row>
    <row r="598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9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</row>
    <row r="599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9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</row>
    <row r="600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9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</row>
    <row r="60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9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</row>
    <row r="602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9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</row>
    <row r="603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9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</row>
    <row r="604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9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</row>
    <row r="605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9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</row>
    <row r="606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9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</row>
    <row r="607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9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</row>
    <row r="608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9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</row>
    <row r="609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9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</row>
    <row r="610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9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</row>
    <row r="61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9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</row>
    <row r="612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9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</row>
    <row r="613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9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</row>
    <row r="614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9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</row>
    <row r="615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9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</row>
    <row r="616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9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</row>
    <row r="617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9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</row>
    <row r="618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9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</row>
    <row r="619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9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</row>
    <row r="620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9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</row>
    <row r="62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9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</row>
    <row r="622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9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</row>
    <row r="623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9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</row>
    <row r="624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9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</row>
    <row r="625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9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</row>
    <row r="626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9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</row>
    <row r="627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9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</row>
    <row r="628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9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</row>
    <row r="629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9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</row>
    <row r="630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9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</row>
    <row r="63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9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</row>
    <row r="632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9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</row>
    <row r="633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9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</row>
    <row r="634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9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</row>
    <row r="635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9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</row>
    <row r="636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9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</row>
    <row r="637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9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</row>
    <row r="638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9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</row>
    <row r="639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9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</row>
    <row r="640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9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</row>
    <row r="64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9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</row>
    <row r="642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9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</row>
    <row r="643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9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</row>
    <row r="644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9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</row>
    <row r="645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9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</row>
    <row r="646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9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</row>
    <row r="647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9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</row>
    <row r="648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9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</row>
    <row r="649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9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</row>
    <row r="650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9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</row>
    <row r="65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9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</row>
    <row r="652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9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</row>
    <row r="653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9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</row>
    <row r="654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9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</row>
    <row r="655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9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</row>
    <row r="656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9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</row>
    <row r="657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9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</row>
    <row r="658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9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</row>
    <row r="659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9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</row>
    <row r="660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9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</row>
    <row r="66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9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</row>
    <row r="662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9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</row>
    <row r="663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9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</row>
    <row r="664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9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</row>
    <row r="665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9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</row>
    <row r="666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9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</row>
    <row r="667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9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</row>
    <row r="668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9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</row>
    <row r="669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9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</row>
    <row r="670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9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</row>
    <row r="67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9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</row>
    <row r="672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9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</row>
    <row r="673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9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</row>
    <row r="674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9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</row>
    <row r="675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9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</row>
    <row r="676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9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</row>
    <row r="677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9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</row>
    <row r="678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9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</row>
    <row r="679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9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</row>
    <row r="680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9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</row>
    <row r="68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9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</row>
    <row r="682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9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</row>
    <row r="683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9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</row>
    <row r="684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9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</row>
    <row r="685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9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</row>
    <row r="686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9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</row>
    <row r="687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9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</row>
    <row r="688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9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</row>
    <row r="689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9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</row>
    <row r="690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9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</row>
    <row r="69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9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</row>
    <row r="692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9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</row>
    <row r="693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9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</row>
    <row r="694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9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</row>
    <row r="695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9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</row>
    <row r="696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9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</row>
    <row r="697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9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</row>
    <row r="698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9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</row>
    <row r="699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9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</row>
    <row r="700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9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</row>
    <row r="70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9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</row>
    <row r="702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9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</row>
    <row r="703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9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</row>
    <row r="704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9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</row>
    <row r="705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9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</row>
    <row r="706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9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</row>
    <row r="707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9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</row>
    <row r="708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9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</row>
    <row r="709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9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</row>
    <row r="710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9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</row>
    <row r="71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9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</row>
    <row r="712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9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</row>
    <row r="713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9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</row>
    <row r="714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9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</row>
    <row r="715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9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</row>
    <row r="716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9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</row>
    <row r="717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9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</row>
    <row r="718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9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</row>
    <row r="719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9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</row>
    <row r="720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9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</row>
    <row r="72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9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</row>
    <row r="722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9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</row>
    <row r="723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9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</row>
    <row r="724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9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</row>
    <row r="725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9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</row>
    <row r="726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9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</row>
    <row r="727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9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</row>
    <row r="728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9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</row>
    <row r="729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9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</row>
    <row r="730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9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</row>
    <row r="73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9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</row>
    <row r="732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9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</row>
    <row r="733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9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</row>
    <row r="734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9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</row>
    <row r="735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9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</row>
    <row r="736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9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</row>
    <row r="737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9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</row>
    <row r="738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9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</row>
    <row r="739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9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</row>
    <row r="740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9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</row>
    <row r="74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9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</row>
    <row r="742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9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</row>
    <row r="743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9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</row>
    <row r="744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9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</row>
    <row r="745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9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</row>
    <row r="746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9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</row>
    <row r="747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9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</row>
    <row r="748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9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</row>
    <row r="749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9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</row>
    <row r="750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9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</row>
    <row r="75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9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</row>
    <row r="752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9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</row>
    <row r="753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9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</row>
    <row r="754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9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</row>
    <row r="755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9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</row>
    <row r="756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9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</row>
    <row r="757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9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</row>
    <row r="758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9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</row>
    <row r="759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9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</row>
    <row r="760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9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</row>
    <row r="76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9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</row>
    <row r="762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9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</row>
    <row r="763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9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</row>
    <row r="764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9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</row>
    <row r="765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9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</row>
    <row r="766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9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</row>
    <row r="767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9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</row>
    <row r="768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9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</row>
    <row r="769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9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</row>
    <row r="770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9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</row>
    <row r="77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9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</row>
    <row r="772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9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</row>
    <row r="773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9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</row>
    <row r="774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9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</row>
    <row r="775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9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</row>
    <row r="776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9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</row>
    <row r="777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9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</row>
    <row r="778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9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</row>
    <row r="779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9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</row>
    <row r="780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9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</row>
    <row r="78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9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</row>
    <row r="782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9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</row>
    <row r="783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9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</row>
    <row r="784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9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</row>
    <row r="785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9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</row>
    <row r="786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9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</row>
    <row r="787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9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</row>
    <row r="788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9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</row>
    <row r="789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9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</row>
    <row r="790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9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</row>
    <row r="79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9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</row>
    <row r="792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9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</row>
    <row r="793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9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</row>
    <row r="794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9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</row>
    <row r="795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9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</row>
    <row r="796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9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</row>
    <row r="797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9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</row>
    <row r="798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9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</row>
    <row r="799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9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</row>
    <row r="800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9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</row>
    <row r="80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9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</row>
    <row r="802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9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</row>
    <row r="803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9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</row>
    <row r="804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9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</row>
    <row r="805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9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</row>
    <row r="806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9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</row>
    <row r="807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9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</row>
    <row r="808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9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</row>
    <row r="809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9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</row>
    <row r="810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9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</row>
    <row r="81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9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</row>
    <row r="812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9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</row>
    <row r="813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9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</row>
    <row r="814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9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</row>
    <row r="815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9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</row>
    <row r="816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9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</row>
    <row r="817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9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</row>
    <row r="818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9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</row>
    <row r="819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9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</row>
    <row r="820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9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</row>
    <row r="82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9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</row>
    <row r="822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9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</row>
    <row r="823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9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</row>
    <row r="824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9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</row>
    <row r="825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9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</row>
    <row r="826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9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</row>
    <row r="827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9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</row>
    <row r="828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9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</row>
    <row r="829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9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</row>
    <row r="830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9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</row>
    <row r="83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9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</row>
    <row r="832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9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</row>
    <row r="833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9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</row>
    <row r="834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9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</row>
    <row r="835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9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</row>
    <row r="836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9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</row>
    <row r="837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9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</row>
    <row r="838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9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</row>
    <row r="839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9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</row>
    <row r="840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9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</row>
    <row r="84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9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</row>
    <row r="842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9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</row>
    <row r="843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9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</row>
    <row r="844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9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</row>
    <row r="845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9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</row>
    <row r="846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9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</row>
    <row r="847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9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</row>
    <row r="848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9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</row>
    <row r="849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9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</row>
    <row r="850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9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</row>
    <row r="85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9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</row>
    <row r="852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9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</row>
    <row r="853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9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</row>
    <row r="854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9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</row>
    <row r="855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9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</row>
    <row r="856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9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</row>
    <row r="857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9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</row>
    <row r="858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9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</row>
    <row r="859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9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</row>
    <row r="860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9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</row>
    <row r="86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9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</row>
    <row r="862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9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</row>
    <row r="863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9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</row>
    <row r="864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9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</row>
    <row r="865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9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</row>
    <row r="866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9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</row>
    <row r="867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9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</row>
    <row r="868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9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</row>
    <row r="869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9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</row>
    <row r="870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9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</row>
    <row r="87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9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</row>
    <row r="872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9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</row>
    <row r="873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9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</row>
    <row r="874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9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</row>
    <row r="875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9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</row>
    <row r="876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9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</row>
    <row r="877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9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</row>
    <row r="878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9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</row>
    <row r="879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9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</row>
    <row r="880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9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</row>
    <row r="88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9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</row>
    <row r="882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9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</row>
    <row r="883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9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</row>
    <row r="884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9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</row>
    <row r="885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9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</row>
    <row r="886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9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</row>
    <row r="887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9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</row>
    <row r="888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9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</row>
    <row r="889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9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</row>
    <row r="890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9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</row>
    <row r="89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9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</row>
    <row r="892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9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</row>
    <row r="893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9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</row>
    <row r="894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9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</row>
    <row r="895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9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</row>
    <row r="896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9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</row>
    <row r="897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9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</row>
    <row r="898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9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</row>
    <row r="899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9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</row>
    <row r="900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9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</row>
    <row r="90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9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</row>
    <row r="902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9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</row>
    <row r="903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9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</row>
    <row r="904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9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</row>
    <row r="905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9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</row>
    <row r="906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9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</row>
    <row r="907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9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</row>
    <row r="908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9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</row>
    <row r="909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9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</row>
    <row r="910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9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</row>
    <row r="91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9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</row>
    <row r="912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9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</row>
    <row r="913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9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</row>
    <row r="914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9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</row>
    <row r="915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9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</row>
    <row r="916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9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</row>
    <row r="917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9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</row>
    <row r="918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9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</row>
    <row r="919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9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</row>
    <row r="920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9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</row>
    <row r="92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9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</row>
    <row r="922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9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</row>
    <row r="923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9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</row>
    <row r="924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9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</row>
    <row r="925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9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</row>
    <row r="926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9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</row>
    <row r="927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9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</row>
    <row r="928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9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</row>
    <row r="929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9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</row>
    <row r="930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9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</row>
    <row r="93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9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</row>
    <row r="932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9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</row>
    <row r="933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9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</row>
    <row r="934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9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</row>
    <row r="935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9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</row>
    <row r="936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9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</row>
    <row r="937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9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</row>
    <row r="938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9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</row>
    <row r="939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9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</row>
    <row r="940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9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</row>
    <row r="94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9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</row>
    <row r="942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9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</row>
    <row r="943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9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</row>
    <row r="944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9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</row>
    <row r="945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9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</row>
    <row r="946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9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</row>
    <row r="947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9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</row>
    <row r="948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9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</row>
    <row r="949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9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</row>
    <row r="950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9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</row>
    <row r="95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9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</row>
    <row r="952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9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</row>
    <row r="953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9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</row>
    <row r="954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9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</row>
    <row r="955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9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</row>
    <row r="956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9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</row>
    <row r="957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9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</row>
    <row r="958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9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</row>
    <row r="959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9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</row>
    <row r="960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9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</row>
    <row r="96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9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</row>
    <row r="962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9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</row>
    <row r="963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9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</row>
    <row r="964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9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</row>
    <row r="965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9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</row>
    <row r="966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9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</row>
    <row r="967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9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</row>
    <row r="968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9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</row>
    <row r="969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9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</row>
    <row r="970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9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</row>
    <row r="97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9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</row>
    <row r="972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9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</row>
    <row r="973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9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</row>
    <row r="974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9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</row>
    <row r="975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9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</row>
    <row r="976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9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</row>
    <row r="977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9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</row>
    <row r="978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9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</row>
    <row r="979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9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</row>
    <row r="980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9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</row>
    <row r="98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9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</row>
    <row r="982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9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</row>
    <row r="983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9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</row>
    <row r="984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9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</row>
    <row r="985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9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</row>
    <row r="986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9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</row>
    <row r="987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9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</row>
    <row r="988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9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</row>
  </sheetData>
  <drawing r:id="rId1"/>
</worksheet>
</file>